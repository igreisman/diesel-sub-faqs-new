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Video Production" sheetId="2" r:id="rId6"/>
    <sheet name="Summary" sheetId="3" r:id="rId7"/>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<sst xmlns="http://schemas.openxmlformats.org/spreadsheetml/2006/main" uniqueCount="226">
  <si>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</si>
  <si>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</si>
  <si>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</si>
  <si>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</si>
  <si>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Video Production</t>
  </si>
  <si>
    <t>Table 1</t>
  </si>
  <si>
    <t>Video #</t>
  </si>
  <si>
    <t>FAQ #</t>
  </si>
  <si>
    <t>Title/Topic</t>
  </si>
  <si>
    <t>Avatar</t>
  </si>
  <si>
    <t>Platform</t>
  </si>
  <si>
    <t>Status</t>
  </si>
  <si>
    <t>Script Date</t>
  </si>
  <si>
    <t>Production Date</t>
  </si>
  <si>
    <t>Upload Date</t>
  </si>
  <si>
    <t>Video URL</t>
  </si>
  <si>
    <t>Duration (sec)</t>
  </si>
  <si>
    <t>Views</t>
  </si>
  <si>
    <t>Notes</t>
  </si>
  <si>
    <t>Is the USS Pampanito (ss-383) Really a Submarine</t>
  </si>
  <si>
    <t>Chief</t>
  </si>
  <si>
    <t>Scripted</t>
  </si>
  <si>
    <t>What Do You Mean When You Say This Is What We Called a Su...</t>
  </si>
  <si>
    <t>How Different Are Modern Submarines</t>
  </si>
  <si>
    <t>Is a Submarine a Boat or a Ship</t>
  </si>
  <si>
    <t>Is the Submarine a Battleship</t>
  </si>
  <si>
    <t>Where Is the Pressure Hull Can I See It From the Pier</t>
  </si>
  <si>
    <t>Where Do the Torpedoes Come Out</t>
  </si>
  <si>
    <t>What Should We Know About Before Discussing What Is in th...</t>
  </si>
  <si>
    <t>Why Are There So Many Doorways to Go Through</t>
  </si>
  <si>
    <t>Why Are the Watertight Doors So Heavy</t>
  </si>
  <si>
    <t>What Are the Compartments on These Submarines</t>
  </si>
  <si>
    <t>What Is in the After Torpedo Room</t>
  </si>
  <si>
    <t>What Is in the Maneuvering Room</t>
  </si>
  <si>
    <t>The Control Room Has a Lot of Equipment. Is It the Comman...</t>
  </si>
  <si>
    <t>Are There Enough Heads on the Boat We Only See Two.</t>
  </si>
  <si>
    <t>Why Are the Chiefs' Quarters Known As the Goat Locker</t>
  </si>
  <si>
    <t>How Many Submarines Did We Have in WW2</t>
  </si>
  <si>
    <t>Commander</t>
  </si>
  <si>
    <t>What Was Built After the R and S Class Boats</t>
  </si>
  <si>
    <t>What Did We Build During the War</t>
  </si>
  <si>
    <t>What Is a Class of Ships or Submarines</t>
  </si>
  <si>
    <t>How Do These Classes of Submarines Compare to Each Other</t>
  </si>
  <si>
    <t>How Many of Each Did We Have During the War</t>
  </si>
  <si>
    <t>What Did We Do With Our Submarines at the End of the War</t>
  </si>
  <si>
    <t>What Was the Reserve Fleet</t>
  </si>
  <si>
    <t>Did We Use Any of the Reserve Fleet Submarines After WW2</t>
  </si>
  <si>
    <t>How Many Submarines Were Built in Each Shipyard</t>
  </si>
  <si>
    <t>Shipyard** **gato** **balao** **tench** **total</t>
  </si>
  <si>
    <t>How Much Did These Submarines Cost</t>
  </si>
  <si>
    <t>How Long Did It Take to Build These Submarines</t>
  </si>
  <si>
    <t>Were All of Our Newest WW2 Submarines Identical</t>
  </si>
  <si>
    <t>How Could They Build Submarines in Manitowoc on the Lake ...</t>
  </si>
  <si>
    <t>How Did Manitowoc Get the Boats to the Ocean</t>
  </si>
  <si>
    <t>Did "rosie the Riveter" Help Build Submarines</t>
  </si>
  <si>
    <t>How Big Were Our Submarines in WW2</t>
  </si>
  <si>
    <t>How Were Us Submarines Named in WW2</t>
  </si>
  <si>
    <t>How Many Submarines Did We Lose in WW2</t>
  </si>
  <si>
    <t>How Were They Lost</t>
  </si>
  <si>
    <t>Was Everyone on Board Lost When a Submarine Sank</t>
  </si>
  <si>
    <t>How Were They Able to Design Such a Complex Ship</t>
  </si>
  <si>
    <t>What Was the Primary Mission of Our Submarines in WW2</t>
  </si>
  <si>
    <t>Did They Do Anything Other Than Attacking Enemy Ships</t>
  </si>
  <si>
    <t>What Was "ultra"</t>
  </si>
  <si>
    <t>How Did We Find Out That Submarines Had Been Sunk</t>
  </si>
  <si>
    <t>Is It Possible to Escape From a Sunken U. S. Submarine</t>
  </si>
  <si>
    <t>How Do the Escape Trunks Work</t>
  </si>
  <si>
    <t>How Fast Could These Submarines Go on the Surface</t>
  </si>
  <si>
    <t>How Fast Could These Submarines Go When Submerged</t>
  </si>
  <si>
    <t>How Far Could These Submarines Go</t>
  </si>
  <si>
    <t>What Does That Mean How Far Could They Operate From San F...</t>
  </si>
  <si>
    <t>What If You Ran Out of Fuel</t>
  </si>
  <si>
    <t>How Long Were War Patrols</t>
  </si>
  <si>
    <t>How Long Can These Submarines Stay at Sea</t>
  </si>
  <si>
    <t>Did American Submarines Resupply at Sea</t>
  </si>
  <si>
    <t>How Did Submarines Receive Messages During a Patrol</t>
  </si>
  <si>
    <t>What Kinds of Messages Would Submarines Send During a Patrol</t>
  </si>
  <si>
    <t>Did They Spend Most of the Time Submerged</t>
  </si>
  <si>
    <t>What Is a Trim Dive</t>
  </si>
  <si>
    <t>How Long Were They Normally Submerged in the Patrol Area</t>
  </si>
  <si>
    <t>Why Was It Important to Be on the Surface at Night</t>
  </si>
  <si>
    <t>How Long Could These Submarines Stay Submerged</t>
  </si>
  <si>
    <t>How Do You Know That Oxygen Is Getting Low</t>
  </si>
  <si>
    <t>Are There Any Windows on a Submarine</t>
  </si>
  <si>
    <t>Did These Submarines Always Have a Window in the Control ...</t>
  </si>
  <si>
    <t>Were Our Submarines Successful During the War</t>
  </si>
  <si>
    <t>What Were the Navy's Problems at the Beginning of the War</t>
  </si>
  <si>
    <t>Why Was the Submarine Service Known As the "silent Service"</t>
  </si>
  <si>
    <t>Why Did Submarines Limit the Use of Active Sonar and Radar</t>
  </si>
  <si>
    <t>Does That Mean Submarines Never Used Active Sonar and Radar</t>
  </si>
  <si>
    <t>Did Loose Lips Really Sink Ships</t>
  </si>
  <si>
    <t>How Is the Trash and Sewage Removed From the Boat</t>
  </si>
  <si>
    <t>When Would the Signal Tube in the After Torpedo Room Be Used</t>
  </si>
  <si>
    <t>Was There a Specific Paint Color for Submarines</t>
  </si>
  <si>
    <t>Do Submarines Leak</t>
  </si>
  <si>
    <t>What Is a "bubblehead"</t>
  </si>
  <si>
    <t>How Many Men Were Assigned to a Submarine in WW2</t>
  </si>
  <si>
    <t>Why Did the Number Increase in the Last Year</t>
  </si>
  <si>
    <t>Why Does It Take So Many Men to Staff the Submarine</t>
  </si>
  <si>
    <t>Does That Mean You Wanted All Smaller Sailors on a Submarine</t>
  </si>
  <si>
    <t>What Was the Best Part of Being on a Boat</t>
  </si>
  <si>
    <t>How Was a Submarine Less Formal</t>
  </si>
  <si>
    <t>What Was the Worst Part of Being on a Boat</t>
  </si>
  <si>
    <t>How Long Were You Assigned to a Submarine in WW2</t>
  </si>
  <si>
    <t>How Often Did Sub Sailors Get Home During WW2</t>
  </si>
  <si>
    <t>How Were Submarine Sailors Selected</t>
  </si>
  <si>
    <t>Was Everyone a Volunteer</t>
  </si>
  <si>
    <t>How Does One Volunteer for Submarines</t>
  </si>
  <si>
    <t>What Kind of Training Did They Get for Submarine Duty</t>
  </si>
  <si>
    <t>Did Anyone Stress Out and Need to Get Out of Submarines</t>
  </si>
  <si>
    <t>What If You Just Changed Your Mind and Wanted Out of Subm...</t>
  </si>
  <si>
    <t>Was There a Doctor on Board These Submarines</t>
  </si>
  <si>
    <t>What Did the Pharmacist Mates Treat</t>
  </si>
  <si>
    <t>Were There Any Women on Board Submarines in WW2</t>
  </si>
  <si>
    <t>Was There an Area That Could Be Used for a Jail</t>
  </si>
  <si>
    <t>Who Were the Officers</t>
  </si>
  <si>
    <t>Were Officers All the Same</t>
  </si>
  <si>
    <t>Was There a Difference in WW2</t>
  </si>
  <si>
    <t>Were the Officers on Submarines Specialists</t>
  </si>
  <si>
    <t>How Many Officers Would Be Assigned to a Submarine</t>
  </si>
  <si>
    <t>What Roles Did They Have</t>
  </si>
  <si>
    <t>Is "captain" a Rank or a Job</t>
  </si>
  <si>
    <t>Who or What Are the Chief Petty Officers</t>
  </si>
  <si>
    <t>Who Is the Chief of the Boat, Also Known As the Cob</t>
  </si>
  <si>
    <t>Who Are the Petty Officers Who Aren't Chiefs</t>
  </si>
  <si>
    <t>What Specialists (ratings) Were Typically Assigned to Sub...</t>
  </si>
  <si>
    <t>Were These the Only Responsibilities</t>
  </si>
  <si>
    <t>What Was "liberty"</t>
  </si>
  <si>
    <t>What Was "leave"</t>
  </si>
  <si>
    <t>What Did a Typical Day at Sea Consist of</t>
  </si>
  <si>
    <t>What Did a Typical Day in Port Consist of</t>
  </si>
  <si>
    <t>What Is a "watch"</t>
  </si>
  <si>
    <t>What Clock Times Did the Navy Use in WW2.</t>
  </si>
  <si>
    <t>How Does Dogging the Watch Work</t>
  </si>
  <si>
    <t>What Were the General Living Conditions on a Submarine Li...</t>
  </si>
  <si>
    <t>Is There a Best Place to Sleep</t>
  </si>
  <si>
    <t>Is It Ever Truly Quiet for Sleeping</t>
  </si>
  <si>
    <t>What Kept You From Falling Out of Your Bunk in Heavy Seas</t>
  </si>
  <si>
    <t>How Deep Do You Have to Go to Get Below the Effect of Waves</t>
  </si>
  <si>
    <t>What Was the Largest Number of Men on a Us WW2 Submarine</t>
  </si>
  <si>
    <t>How Could You All Move Quickly When Going to Battle Stations</t>
  </si>
  <si>
    <t>What Is "battle Stations"</t>
  </si>
  <si>
    <t>What Is a "battle Station"</t>
  </si>
  <si>
    <t>Who Was Responsible for Damage Control</t>
  </si>
  <si>
    <t>What Was a Tracking Party</t>
  </si>
  <si>
    <t>Where Did They Store All the Oxygen for So Many People</t>
  </si>
  <si>
    <t>Were These Submarines Hot Inside</t>
  </si>
  <si>
    <t>Weren't the Boats Crowded</t>
  </si>
  <si>
    <t>There Are Showers on Board. How Often Could the Crew Take...</t>
  </si>
  <si>
    <t>Why Not Take Salt Water Showers</t>
  </si>
  <si>
    <t>If No One Could Take Showers, Didn't the Submarine Smell Bad</t>
  </si>
  <si>
    <t>How Could the Sub Sailors Put Up With the Smell</t>
  </si>
  <si>
    <t>How Much Food Could These Boats Carry</t>
  </si>
  <si>
    <t>What Kinds of Food Would It Be</t>
  </si>
  <si>
    <t>Where Would It Be Stored Where Is the Storage Space</t>
  </si>
  <si>
    <t>What Was the Food Like on a Submarine</t>
  </si>
  <si>
    <t>Was the Food Really Better Than the Rest of the Navy</t>
  </si>
  <si>
    <t>How Could Everyone Fit in That Small Space</t>
  </si>
  <si>
    <t>When Were the Meals</t>
  </si>
  <si>
    <t>Is That an Ice Cream Machine in the Crew's Berthing</t>
  </si>
  <si>
    <t>How Much Personal Storage Was There</t>
  </si>
  <si>
    <t>What Privacy Was There</t>
  </si>
  <si>
    <t>How Are Things Different Before a Sailor Is Qualified</t>
  </si>
  <si>
    <t>What Does It Feel Like to Be Submerged</t>
  </si>
  <si>
    <t>Does the Hull Creak When You Go Deep</t>
  </si>
  <si>
    <t>Do You Feel the Motion When You Are Submerged</t>
  </si>
  <si>
    <t>Why Was There Red Lighting in Some Spaces</t>
  </si>
  <si>
    <t>How Much of the Boat Was "rigged for Red"</t>
  </si>
  <si>
    <t>Did the Red Lights Cause Any Difficulties</t>
  </si>
  <si>
    <t>How Can I Avoid an Issue Like This at Home</t>
  </si>
  <si>
    <t>What Messages Did the Crew Get From Home</t>
  </si>
  <si>
    <t>How Do You Get Exercise When on a Submarine</t>
  </si>
  <si>
    <t>Where Are the Offices</t>
  </si>
  <si>
    <t>Did the Captain Get the Fancy Room With Only One Bunk</t>
  </si>
  <si>
    <t>Did Captains Always Get Credit for Ships They Sank</t>
  </si>
  <si>
    <t>What Was Janac</t>
  </si>
  <si>
    <t>In What Battles Were Submarines Involved</t>
  </si>
  <si>
    <t>What Were Some Examples of the Worst Attacks</t>
  </si>
  <si>
    <t>USS Puffer</t>
  </si>
  <si>
    <t>USS Salmon</t>
  </si>
  <si>
    <t>USS Sculpin</t>
  </si>
  <si>
    <t>USS Halibut (ss-232)</t>
  </si>
  <si>
    <t>Pampanito</t>
  </si>
  <si>
    <t>How Did Submarines Find Targets</t>
  </si>
  <si>
    <t>Could They Go Anywhere They Wanted to Find Targets</t>
  </si>
  <si>
    <t>What Did They Do If They Found a Possible Target</t>
  </si>
  <si>
    <t>How Did They Know They Were Enemy Ships</t>
  </si>
  <si>
    <t>Did Anyone Ever Make a Mistake in Ship Identification</t>
  </si>
  <si>
    <t>What Is the Tracking Party</t>
  </si>
  <si>
    <t>What Is Fire Control</t>
  </si>
  <si>
    <t>How Many Torpedoes Would Be Fired at a Target</t>
  </si>
  <si>
    <t>How Many Torpedo Hits Would It Take to Sink a Ship</t>
  </si>
  <si>
    <t>What Usually Happened After We Attacked Japanese Ships</t>
  </si>
  <si>
    <t>How Were Our Submarines Detected</t>
  </si>
  <si>
    <t>How Did Submarines Escape</t>
  </si>
  <si>
    <t>What Other Things Can Surface Ships Do to Attack a Submarine</t>
  </si>
  <si>
    <t>Battle of Savo Island Near the Solomons:</t>
  </si>
  <si>
    <t>Midway:</t>
  </si>
  <si>
    <t>Leyte Gulf:</t>
  </si>
  <si>
    <t>Notes:</t>
  </si>
  <si>
    <t>Pampanito Is Much Bigger Than I Expected. I Thought Subma...</t>
  </si>
  <si>
    <t>What Is in the After Engine Room</t>
  </si>
  <si>
    <t>What Is in the Forward Engine Room</t>
  </si>
  <si>
    <t>What Is in the After Battery</t>
  </si>
  <si>
    <t>What Is in the Forward Torpedo Room</t>
  </si>
  <si>
    <t>What Is in the Forward Battery</t>
  </si>
  <si>
    <t>What Is on the Bridge</t>
  </si>
  <si>
    <t>What Is in the Pump Room</t>
  </si>
  <si>
    <t>What Is in the Conning Tower</t>
  </si>
  <si>
    <t>What Is in the Control Room</t>
  </si>
  <si>
    <t>Why Weren't the Gato/balao/tench Boats Designed for the N...</t>
  </si>
  <si>
    <t>Summary</t>
  </si>
  <si>
    <t>Production Summary</t>
  </si>
  <si>
    <t>Total Videos:</t>
  </si>
  <si>
    <t>Videos Scripted:</t>
  </si>
  <si>
    <t>In Production:</t>
  </si>
  <si>
    <t>Completed:</t>
  </si>
  <si>
    <t>Uploaded:</t>
  </si>
  <si>
    <t>Published:</t>
  </si>
  <si>
    <t>By Avatar:</t>
  </si>
  <si>
    <t>Chief:</t>
  </si>
  <si>
    <t>Commander:</t>
  </si>
  <si>
    <t>By Platform:</t>
  </si>
  <si>
    <t>TikTok:</t>
  </si>
  <si>
    <t>YouTube Shorts:</t>
  </si>
  <si>
    <t>Both:</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</si>
</sst>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12"/>
      <name val="Cambria"/>
    </font>
    <font>
      <sz val="14"/>
      <color indexed="8"/>
      <name val="Cambria"/>
    </font>
    <font>
      <sz val="11"/>
      <color indexed="8"/>
      <name val="Cambria"/>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fillId="5" borderId="1" applyNumberFormat="1" applyFont="1" applyFill="1" applyBorder="1" applyAlignment="1" applyProtection="0">
      <alignment horizontal="center" vertical="bottom"/>
    </xf>
    <xf numFmtId="0" fontId="0" fillId="5" borderId="1" applyNumberFormat="1" applyFont="1" applyFill="1" applyBorder="1" applyAlignment="1" applyProtection="0">
      <alignment vertical="bottom"/>
    </xf>
    <xf numFmtId="49" fontId="0" fillId="5" borderId="1" applyNumberFormat="1" applyFont="1" applyFill="1" applyBorder="1" applyAlignment="1" applyProtection="0">
      <alignment vertical="bottom"/>
    </xf>
    <xf numFmtId="0" fontId="0" fillId="5" borderId="1" applyNumberFormat="0" applyFont="1" applyFill="1" applyBorder="1" applyAlignment="1" applyProtection="0">
      <alignment vertical="bottom"/>
    </xf>
    <xf numFmtId="0" fontId="0" fillId="5" borderId="2" applyNumberFormat="0" applyFont="1" applyFill="1" applyBorder="1" applyAlignment="1" applyProtection="0">
      <alignment vertical="bottom"/>
    </xf>
    <xf numFmtId="0" fontId="0" fillId="5" borderId="2" applyNumberFormat="1" applyFont="1" applyFill="1" applyBorder="1" applyAlignment="1" applyProtection="0">
      <alignment vertical="bottom"/>
    </xf>
    <xf numFmtId="49" fontId="0" fillId="5" borderId="2" applyNumberFormat="1" applyFont="1" applyFill="1" applyBorder="1" applyAlignment="1" applyProtection="0">
      <alignment vertical="bottom"/>
    </xf>
    <xf numFmtId="0" fontId="0" fillId="5" borderId="3" applyNumberFormat="0" applyFont="1" applyFill="1" applyBorder="1" applyAlignment="1" applyProtection="0">
      <alignment vertical="bottom"/>
    </xf>
    <xf numFmtId="0" fontId="0" fillId="5" borderId="3" applyNumberFormat="1" applyFont="1" applyFill="1" applyBorder="1" applyAlignment="1" applyProtection="0">
      <alignment vertical="bottom"/>
    </xf>
    <xf numFmtId="49" fontId="0" fillId="5" borderId="3" applyNumberFormat="1" applyFont="1" applyFill="1" applyBorder="1" applyAlignment="1" applyProtection="0">
      <alignment vertical="bottom"/>
    </xf>
    <xf numFmtId="0" fontId="0" applyNumberFormat="1" applyFont="1" applyFill="0" applyBorder="0" applyAlignment="1" applyProtection="0">
      <alignment vertical="bottom"/>
    </xf>
    <xf numFmtId="49" fontId="7" fillId="5" borderId="3" applyNumberFormat="1" applyFont="1" applyFill="1" applyBorder="1" applyAlignment="1" applyProtection="0">
      <alignment vertical="bottom"/>
    </xf>
    <xf numFmtId="0" fontId="0" borderId="3" applyNumberFormat="0" applyFont="1" applyFill="0" applyBorder="1" applyAlignment="1" applyProtection="0">
      <alignment vertical="bottom"/>
    </xf>
    <xf numFmtId="49" fontId="8" fillId="5" borderId="3"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788"/>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211</v>
      </c>
      <c r="C11" s="3"/>
      <c r="D11" s="3"/>
    </row>
    <row r="12">
      <c r="B12" s="4"/>
      <c r="C12" t="s" s="4">
        <v>5</v>
      </c>
      <c r="D12" t="s" s="5">
        <v>211</v>
      </c>
    </row>
  </sheetData>
  <mergeCells count="1">
    <mergeCell ref="B3:D3"/>
  </mergeCells>
  <hyperlinks>
    <hyperlink ref="D10" location="'Video Production'!R1C1" tooltip="" display="Video Production"/>
    <hyperlink ref="D12" location="'Summary'!R1C1" tooltip="" display="Summary"/>
  </hyperlinks>
</worksheet>
</file>

<file path=xl/worksheets/sheet2.xml><?xml version="1.0" encoding="utf-8"?>
<worksheet xmlns:r="http://schemas.openxmlformats.org/officeDocument/2006/relationships" xmlns="http://schemas.openxmlformats.org/spreadsheetml/2006/main">
  <dimension ref="A1:M191"/>
  <sheetViews>
    <sheetView workbookViewId="0" showGridLines="0" defaultGridColor="1"/>
  </sheetViews>
  <sheetFormatPr defaultColWidth="8.66667" defaultRowHeight="15" customHeight="1" outlineLevelRow="0" outlineLevelCol="0"/>
  <cols>
    <col min="1" max="2" width="8" style="6" customWidth="1"/>
    <col min="3" max="3" width="40" style="6" customWidth="1"/>
    <col min="4" max="4" width="12" style="6" customWidth="1"/>
    <col min="5" max="5" width="10" style="6" customWidth="1"/>
    <col min="6" max="7" width="12" style="6" customWidth="1"/>
    <col min="8" max="8" width="14" style="6" customWidth="1"/>
    <col min="9" max="9" width="12" style="6" customWidth="1"/>
    <col min="10" max="10" width="35" style="6" customWidth="1"/>
    <col min="11" max="11" width="12" style="6" customWidth="1"/>
    <col min="12" max="12" width="10" style="6" customWidth="1"/>
    <col min="13" max="13" width="30" style="6" customWidth="1"/>
    <col min="14" max="16384" width="8.67188" style="6" customWidth="1"/>
  </cols>
  <sheetData>
    <row r="1" ht="27.75" customHeight="1">
      <c r="A1" t="s" s="7">
        <v>6</v>
      </c>
      <c r="B1" t="s" s="7">
        <v>7</v>
      </c>
      <c r="C1" t="s" s="7">
        <v>8</v>
      </c>
      <c r="D1" t="s" s="7">
        <v>9</v>
      </c>
      <c r="E1" t="s" s="7">
        <v>10</v>
      </c>
      <c r="F1" t="s" s="7">
        <v>11</v>
      </c>
      <c r="G1" t="s" s="7">
        <v>12</v>
      </c>
      <c r="H1" t="s" s="7">
        <v>13</v>
      </c>
      <c r="I1" t="s" s="7">
        <v>14</v>
      </c>
      <c r="J1" t="s" s="7">
        <v>15</v>
      </c>
      <c r="K1" t="s" s="7">
        <v>16</v>
      </c>
      <c r="L1" t="s" s="7">
        <v>17</v>
      </c>
      <c r="M1" t="s" s="7">
        <v>18</v>
      </c>
    </row>
    <row r="2" ht="15" customHeight="1">
      <c r="A2" s="8" cm="1">
        <f t="array" ref="A2">ROW()-1</f>
        <v>1</v>
      </c>
      <c r="B2" s="9">
        <v>1</v>
      </c>
      <c r="C2" t="s" s="10">
        <v>19</v>
      </c>
      <c r="D2" t="s" s="10">
        <v>20</v>
      </c>
      <c r="E2" s="11"/>
      <c r="F2" t="s" s="10">
        <v>21</v>
      </c>
      <c r="G2" s="11"/>
      <c r="H2" s="11"/>
      <c r="I2" s="11"/>
      <c r="J2" s="11"/>
      <c r="K2" s="11"/>
      <c r="L2" s="11"/>
      <c r="M2" s="11"/>
    </row>
    <row r="3" ht="15" customHeight="1">
      <c r="A3" s="8" cm="1">
        <f t="array" ref="A3">ROW()-1</f>
        <v>2</v>
      </c>
      <c r="B3" s="9">
        <v>2</v>
      </c>
      <c r="C3" t="s" s="10">
        <v>22</v>
      </c>
      <c r="D3" t="s" s="10">
        <v>20</v>
      </c>
      <c r="E3" s="11"/>
      <c r="F3" t="s" s="10">
        <v>21</v>
      </c>
      <c r="G3" s="11"/>
      <c r="H3" s="11"/>
      <c r="I3" s="11"/>
      <c r="J3" s="11"/>
      <c r="K3" s="11"/>
      <c r="L3" s="11"/>
      <c r="M3" s="11"/>
    </row>
    <row r="4" ht="15" customHeight="1">
      <c r="A4" s="8" cm="1">
        <f t="array" ref="A4">ROW()-1</f>
        <v>3</v>
      </c>
      <c r="B4" s="9">
        <v>3</v>
      </c>
      <c r="C4" t="s" s="10">
        <v>23</v>
      </c>
      <c r="D4" t="s" s="10">
        <v>20</v>
      </c>
      <c r="E4" s="11"/>
      <c r="F4" t="s" s="10">
        <v>21</v>
      </c>
      <c r="G4" s="11"/>
      <c r="H4" s="11"/>
      <c r="I4" s="11"/>
      <c r="J4" s="11"/>
      <c r="K4" s="11"/>
      <c r="L4" s="11"/>
      <c r="M4" s="11"/>
    </row>
    <row r="5" ht="15" customHeight="1">
      <c r="A5" s="8" cm="1">
        <f t="array" ref="A5">ROW()-1</f>
        <v>4</v>
      </c>
      <c r="B5" s="9">
        <v>4</v>
      </c>
      <c r="C5" t="s" s="10">
        <v>24</v>
      </c>
      <c r="D5" t="s" s="10">
        <v>20</v>
      </c>
      <c r="E5" s="11"/>
      <c r="F5" t="s" s="10">
        <v>21</v>
      </c>
      <c r="G5" s="11"/>
      <c r="H5" s="11"/>
      <c r="I5" s="11"/>
      <c r="J5" s="11"/>
      <c r="K5" s="11"/>
      <c r="L5" s="11"/>
      <c r="M5" s="11"/>
    </row>
    <row r="6" ht="15" customHeight="1">
      <c r="A6" s="8" cm="1">
        <f t="array" ref="A6">ROW()-1</f>
        <v>5</v>
      </c>
      <c r="B6" s="9">
        <v>5</v>
      </c>
      <c r="C6" t="s" s="10">
        <v>25</v>
      </c>
      <c r="D6" t="s" s="10">
        <v>20</v>
      </c>
      <c r="E6" s="11"/>
      <c r="F6" t="s" s="10">
        <v>21</v>
      </c>
      <c r="G6" s="11"/>
      <c r="H6" s="11"/>
      <c r="I6" s="11"/>
      <c r="J6" s="11"/>
      <c r="K6" s="11"/>
      <c r="L6" s="11"/>
      <c r="M6" s="11"/>
    </row>
    <row r="7" ht="13.55" customHeight="1">
      <c r="A7" s="12"/>
      <c r="B7" s="13">
        <v>6</v>
      </c>
      <c r="C7" t="s" s="14">
        <v>26</v>
      </c>
      <c r="D7" t="s" s="14">
        <v>20</v>
      </c>
      <c r="E7" s="12"/>
      <c r="F7" t="s" s="14">
        <v>21</v>
      </c>
      <c r="G7" s="12"/>
      <c r="H7" s="12"/>
      <c r="I7" s="12"/>
      <c r="J7" s="12"/>
      <c r="K7" s="12"/>
      <c r="L7" s="12"/>
      <c r="M7" s="12"/>
    </row>
    <row r="8" ht="13.55" customHeight="1">
      <c r="A8" s="15"/>
      <c r="B8" s="16">
        <v>7</v>
      </c>
      <c r="C8" t="s" s="17">
        <v>27</v>
      </c>
      <c r="D8" t="s" s="17">
        <v>20</v>
      </c>
      <c r="E8" s="15"/>
      <c r="F8" t="s" s="17">
        <v>21</v>
      </c>
      <c r="G8" s="15"/>
      <c r="H8" s="15"/>
      <c r="I8" s="15"/>
      <c r="J8" s="15"/>
      <c r="K8" s="15"/>
      <c r="L8" s="15"/>
      <c r="M8" s="15"/>
    </row>
    <row r="9" ht="13.55" customHeight="1">
      <c r="A9" s="15"/>
      <c r="B9" s="16">
        <v>8</v>
      </c>
      <c r="C9" t="s" s="17">
        <v>28</v>
      </c>
      <c r="D9" t="s" s="17">
        <v>20</v>
      </c>
      <c r="E9" s="15"/>
      <c r="F9" t="s" s="17">
        <v>21</v>
      </c>
      <c r="G9" s="15"/>
      <c r="H9" s="15"/>
      <c r="I9" s="15"/>
      <c r="J9" s="15"/>
      <c r="K9" s="15"/>
      <c r="L9" s="15"/>
      <c r="M9" s="15"/>
    </row>
    <row r="10" ht="13.55" customHeight="1">
      <c r="A10" s="15"/>
      <c r="B10" s="16">
        <v>9</v>
      </c>
      <c r="C10" t="s" s="17">
        <v>29</v>
      </c>
      <c r="D10" t="s" s="17">
        <v>20</v>
      </c>
      <c r="E10" s="15"/>
      <c r="F10" t="s" s="17">
        <v>21</v>
      </c>
      <c r="G10" s="15"/>
      <c r="H10" s="15"/>
      <c r="I10" s="15"/>
      <c r="J10" s="15"/>
      <c r="K10" s="15"/>
      <c r="L10" s="15"/>
      <c r="M10" s="15"/>
    </row>
    <row r="11" ht="13.55" customHeight="1">
      <c r="A11" s="15"/>
      <c r="B11" s="16">
        <v>10</v>
      </c>
      <c r="C11" t="s" s="17">
        <v>30</v>
      </c>
      <c r="D11" t="s" s="17">
        <v>20</v>
      </c>
      <c r="E11" s="15"/>
      <c r="F11" t="s" s="17">
        <v>21</v>
      </c>
      <c r="G11" s="15"/>
      <c r="H11" s="15"/>
      <c r="I11" s="15"/>
      <c r="J11" s="15"/>
      <c r="K11" s="15"/>
      <c r="L11" s="15"/>
      <c r="M11" s="15"/>
    </row>
    <row r="12" ht="13.55" customHeight="1">
      <c r="A12" s="15"/>
      <c r="B12" s="16">
        <v>11</v>
      </c>
      <c r="C12" t="s" s="17">
        <v>31</v>
      </c>
      <c r="D12" t="s" s="17">
        <v>20</v>
      </c>
      <c r="E12" s="15"/>
      <c r="F12" t="s" s="17">
        <v>21</v>
      </c>
      <c r="G12" s="15"/>
      <c r="H12" s="15"/>
      <c r="I12" s="15"/>
      <c r="J12" s="15"/>
      <c r="K12" s="15"/>
      <c r="L12" s="15"/>
      <c r="M12" s="15"/>
    </row>
    <row r="13" ht="13.55" customHeight="1">
      <c r="A13" s="15"/>
      <c r="B13" s="16">
        <v>12</v>
      </c>
      <c r="C13" t="s" s="17">
        <v>32</v>
      </c>
      <c r="D13" t="s" s="17">
        <v>20</v>
      </c>
      <c r="E13" s="15"/>
      <c r="F13" t="s" s="17">
        <v>21</v>
      </c>
      <c r="G13" s="15"/>
      <c r="H13" s="15"/>
      <c r="I13" s="15"/>
      <c r="J13" s="15"/>
      <c r="K13" s="15"/>
      <c r="L13" s="15"/>
      <c r="M13" s="15"/>
    </row>
    <row r="14" ht="13.55" customHeight="1">
      <c r="A14" s="15"/>
      <c r="B14" s="16">
        <v>13</v>
      </c>
      <c r="C14" t="s" s="17">
        <v>33</v>
      </c>
      <c r="D14" t="s" s="17">
        <v>20</v>
      </c>
      <c r="E14" s="15"/>
      <c r="F14" t="s" s="17">
        <v>21</v>
      </c>
      <c r="G14" s="15"/>
      <c r="H14" s="15"/>
      <c r="I14" s="15"/>
      <c r="J14" s="15"/>
      <c r="K14" s="15"/>
      <c r="L14" s="15"/>
      <c r="M14" s="15"/>
    </row>
    <row r="15" ht="13.55" customHeight="1">
      <c r="A15" s="15"/>
      <c r="B15" s="16">
        <v>14</v>
      </c>
      <c r="C15" t="s" s="17">
        <v>34</v>
      </c>
      <c r="D15" t="s" s="17">
        <v>20</v>
      </c>
      <c r="E15" s="15"/>
      <c r="F15" t="s" s="17">
        <v>21</v>
      </c>
      <c r="G15" s="15"/>
      <c r="H15" s="15"/>
      <c r="I15" s="15"/>
      <c r="J15" s="15"/>
      <c r="K15" s="15"/>
      <c r="L15" s="15"/>
      <c r="M15" s="15"/>
    </row>
    <row r="16" ht="13.55" customHeight="1">
      <c r="A16" s="15"/>
      <c r="B16" s="16">
        <v>15</v>
      </c>
      <c r="C16" t="s" s="17">
        <v>35</v>
      </c>
      <c r="D16" t="s" s="17">
        <v>20</v>
      </c>
      <c r="E16" s="15"/>
      <c r="F16" t="s" s="17">
        <v>21</v>
      </c>
      <c r="G16" s="15"/>
      <c r="H16" s="15"/>
      <c r="I16" s="15"/>
      <c r="J16" s="15"/>
      <c r="K16" s="15"/>
      <c r="L16" s="15"/>
      <c r="M16" s="15"/>
    </row>
    <row r="17" ht="13.55" customHeight="1">
      <c r="A17" s="15"/>
      <c r="B17" s="16">
        <v>16</v>
      </c>
      <c r="C17" t="s" s="17">
        <v>36</v>
      </c>
      <c r="D17" t="s" s="17">
        <v>20</v>
      </c>
      <c r="E17" s="15"/>
      <c r="F17" t="s" s="17">
        <v>21</v>
      </c>
      <c r="G17" s="15"/>
      <c r="H17" s="15"/>
      <c r="I17" s="15"/>
      <c r="J17" s="15"/>
      <c r="K17" s="15"/>
      <c r="L17" s="15"/>
      <c r="M17" s="15"/>
    </row>
    <row r="18" ht="13.55" customHeight="1">
      <c r="A18" s="15"/>
      <c r="B18" s="16">
        <v>17</v>
      </c>
      <c r="C18" t="s" s="17">
        <v>37</v>
      </c>
      <c r="D18" t="s" s="17">
        <v>38</v>
      </c>
      <c r="E18" s="15"/>
      <c r="F18" t="s" s="17">
        <v>21</v>
      </c>
      <c r="G18" s="15"/>
      <c r="H18" s="15"/>
      <c r="I18" s="15"/>
      <c r="J18" s="15"/>
      <c r="K18" s="15"/>
      <c r="L18" s="15"/>
      <c r="M18" s="15"/>
    </row>
    <row r="19" ht="13.55" customHeight="1">
      <c r="A19" s="15"/>
      <c r="B19" s="16">
        <v>18</v>
      </c>
      <c r="C19" t="s" s="17">
        <v>39</v>
      </c>
      <c r="D19" t="s" s="17">
        <v>20</v>
      </c>
      <c r="E19" s="15"/>
      <c r="F19" t="s" s="17">
        <v>21</v>
      </c>
      <c r="G19" s="15"/>
      <c r="H19" s="15"/>
      <c r="I19" s="15"/>
      <c r="J19" s="15"/>
      <c r="K19" s="15"/>
      <c r="L19" s="15"/>
      <c r="M19" s="15"/>
    </row>
    <row r="20" ht="13.55" customHeight="1">
      <c r="A20" s="15"/>
      <c r="B20" s="16">
        <v>19</v>
      </c>
      <c r="C20" t="s" s="17">
        <v>40</v>
      </c>
      <c r="D20" t="s" s="17">
        <v>20</v>
      </c>
      <c r="E20" s="15"/>
      <c r="F20" t="s" s="17">
        <v>21</v>
      </c>
      <c r="G20" s="15"/>
      <c r="H20" s="15"/>
      <c r="I20" s="15"/>
      <c r="J20" s="15"/>
      <c r="K20" s="15"/>
      <c r="L20" s="15"/>
      <c r="M20" s="15"/>
    </row>
    <row r="21" ht="13.55" customHeight="1">
      <c r="A21" s="15"/>
      <c r="B21" s="16">
        <v>20</v>
      </c>
      <c r="C21" t="s" s="17">
        <v>41</v>
      </c>
      <c r="D21" t="s" s="17">
        <v>38</v>
      </c>
      <c r="E21" s="15"/>
      <c r="F21" t="s" s="17">
        <v>21</v>
      </c>
      <c r="G21" s="15"/>
      <c r="H21" s="15"/>
      <c r="I21" s="15"/>
      <c r="J21" s="15"/>
      <c r="K21" s="15"/>
      <c r="L21" s="15"/>
      <c r="M21" s="15"/>
    </row>
    <row r="22" ht="13.55" customHeight="1">
      <c r="A22" s="15"/>
      <c r="B22" s="16">
        <v>21</v>
      </c>
      <c r="C22" t="s" s="17">
        <v>42</v>
      </c>
      <c r="D22" t="s" s="17">
        <v>20</v>
      </c>
      <c r="E22" s="15"/>
      <c r="F22" t="s" s="17">
        <v>21</v>
      </c>
      <c r="G22" s="15"/>
      <c r="H22" s="15"/>
      <c r="I22" s="15"/>
      <c r="J22" s="15"/>
      <c r="K22" s="15"/>
      <c r="L22" s="15"/>
      <c r="M22" s="15"/>
    </row>
    <row r="23" ht="13.55" customHeight="1">
      <c r="A23" s="15"/>
      <c r="B23" s="16">
        <v>22</v>
      </c>
      <c r="C23" t="s" s="17">
        <v>43</v>
      </c>
      <c r="D23" t="s" s="17">
        <v>20</v>
      </c>
      <c r="E23" s="15"/>
      <c r="F23" t="s" s="17">
        <v>21</v>
      </c>
      <c r="G23" s="15"/>
      <c r="H23" s="15"/>
      <c r="I23" s="15"/>
      <c r="J23" s="15"/>
      <c r="K23" s="15"/>
      <c r="L23" s="15"/>
      <c r="M23" s="15"/>
    </row>
    <row r="24" ht="13.55" customHeight="1">
      <c r="A24" s="15"/>
      <c r="B24" s="16">
        <v>23</v>
      </c>
      <c r="C24" t="s" s="17">
        <v>44</v>
      </c>
      <c r="D24" t="s" s="17">
        <v>20</v>
      </c>
      <c r="E24" s="15"/>
      <c r="F24" t="s" s="17">
        <v>21</v>
      </c>
      <c r="G24" s="15"/>
      <c r="H24" s="15"/>
      <c r="I24" s="15"/>
      <c r="J24" s="15"/>
      <c r="K24" s="15"/>
      <c r="L24" s="15"/>
      <c r="M24" s="15"/>
    </row>
    <row r="25" ht="13.55" customHeight="1">
      <c r="A25" s="15"/>
      <c r="B25" s="16">
        <v>24</v>
      </c>
      <c r="C25" t="s" s="17">
        <v>45</v>
      </c>
      <c r="D25" t="s" s="17">
        <v>20</v>
      </c>
      <c r="E25" s="15"/>
      <c r="F25" t="s" s="17">
        <v>21</v>
      </c>
      <c r="G25" s="15"/>
      <c r="H25" s="15"/>
      <c r="I25" s="15"/>
      <c r="J25" s="15"/>
      <c r="K25" s="15"/>
      <c r="L25" s="15"/>
      <c r="M25" s="15"/>
    </row>
    <row r="26" ht="13.55" customHeight="1">
      <c r="A26" s="15"/>
      <c r="B26" s="16">
        <v>25</v>
      </c>
      <c r="C26" t="s" s="17">
        <v>46</v>
      </c>
      <c r="D26" t="s" s="17">
        <v>20</v>
      </c>
      <c r="E26" s="15"/>
      <c r="F26" t="s" s="17">
        <v>21</v>
      </c>
      <c r="G26" s="15"/>
      <c r="H26" s="15"/>
      <c r="I26" s="15"/>
      <c r="J26" s="15"/>
      <c r="K26" s="15"/>
      <c r="L26" s="15"/>
      <c r="M26" s="15"/>
    </row>
    <row r="27" ht="13.55" customHeight="1">
      <c r="A27" s="15"/>
      <c r="B27" s="16">
        <v>26</v>
      </c>
      <c r="C27" t="s" s="17">
        <v>47</v>
      </c>
      <c r="D27" t="s" s="17">
        <v>38</v>
      </c>
      <c r="E27" s="15"/>
      <c r="F27" t="s" s="17">
        <v>21</v>
      </c>
      <c r="G27" s="15"/>
      <c r="H27" s="15"/>
      <c r="I27" s="15"/>
      <c r="J27" s="15"/>
      <c r="K27" s="15"/>
      <c r="L27" s="15"/>
      <c r="M27" s="15"/>
    </row>
    <row r="28" ht="13.55" customHeight="1">
      <c r="A28" s="15"/>
      <c r="B28" s="16">
        <v>27</v>
      </c>
      <c r="C28" t="s" s="17">
        <v>48</v>
      </c>
      <c r="D28" t="s" s="17">
        <v>38</v>
      </c>
      <c r="E28" s="15"/>
      <c r="F28" t="s" s="17">
        <v>21</v>
      </c>
      <c r="G28" s="15"/>
      <c r="H28" s="15"/>
      <c r="I28" s="15"/>
      <c r="J28" s="15"/>
      <c r="K28" s="15"/>
      <c r="L28" s="15"/>
      <c r="M28" s="15"/>
    </row>
    <row r="29" ht="13.55" customHeight="1">
      <c r="A29" s="15"/>
      <c r="B29" s="16">
        <v>28</v>
      </c>
      <c r="C29" t="s" s="17">
        <v>49</v>
      </c>
      <c r="D29" t="s" s="17">
        <v>38</v>
      </c>
      <c r="E29" s="15"/>
      <c r="F29" t="s" s="17">
        <v>21</v>
      </c>
      <c r="G29" s="15"/>
      <c r="H29" s="15"/>
      <c r="I29" s="15"/>
      <c r="J29" s="15"/>
      <c r="K29" s="15"/>
      <c r="L29" s="15"/>
      <c r="M29" s="15"/>
    </row>
    <row r="30" ht="13.55" customHeight="1">
      <c r="A30" s="15"/>
      <c r="B30" s="16">
        <v>29</v>
      </c>
      <c r="C30" t="s" s="17">
        <v>50</v>
      </c>
      <c r="D30" t="s" s="17">
        <v>38</v>
      </c>
      <c r="E30" s="15"/>
      <c r="F30" t="s" s="17">
        <v>21</v>
      </c>
      <c r="G30" s="15"/>
      <c r="H30" s="15"/>
      <c r="I30" s="15"/>
      <c r="J30" s="15"/>
      <c r="K30" s="15"/>
      <c r="L30" s="15"/>
      <c r="M30" s="15"/>
    </row>
    <row r="31" ht="13.55" customHeight="1">
      <c r="A31" s="15"/>
      <c r="B31" s="16">
        <v>30</v>
      </c>
      <c r="C31" t="s" s="17">
        <v>51</v>
      </c>
      <c r="D31" t="s" s="17">
        <v>38</v>
      </c>
      <c r="E31" s="15"/>
      <c r="F31" t="s" s="17">
        <v>21</v>
      </c>
      <c r="G31" s="15"/>
      <c r="H31" s="15"/>
      <c r="I31" s="15"/>
      <c r="J31" s="15"/>
      <c r="K31" s="15"/>
      <c r="L31" s="15"/>
      <c r="M31" s="15"/>
    </row>
    <row r="32" ht="13.55" customHeight="1">
      <c r="A32" s="15"/>
      <c r="B32" s="16">
        <v>31</v>
      </c>
      <c r="C32" t="s" s="17">
        <v>52</v>
      </c>
      <c r="D32" t="s" s="17">
        <v>38</v>
      </c>
      <c r="E32" s="15"/>
      <c r="F32" t="s" s="17">
        <v>21</v>
      </c>
      <c r="G32" s="15"/>
      <c r="H32" s="15"/>
      <c r="I32" s="15"/>
      <c r="J32" s="15"/>
      <c r="K32" s="15"/>
      <c r="L32" s="15"/>
      <c r="M32" s="15"/>
    </row>
    <row r="33" ht="13.55" customHeight="1">
      <c r="A33" s="15"/>
      <c r="B33" s="16">
        <v>32</v>
      </c>
      <c r="C33" t="s" s="17">
        <v>53</v>
      </c>
      <c r="D33" t="s" s="17">
        <v>38</v>
      </c>
      <c r="E33" s="15"/>
      <c r="F33" t="s" s="17">
        <v>21</v>
      </c>
      <c r="G33" s="15"/>
      <c r="H33" s="15"/>
      <c r="I33" s="15"/>
      <c r="J33" s="15"/>
      <c r="K33" s="15"/>
      <c r="L33" s="15"/>
      <c r="M33" s="15"/>
    </row>
    <row r="34" ht="13.55" customHeight="1">
      <c r="A34" s="15"/>
      <c r="B34" s="16">
        <v>33</v>
      </c>
      <c r="C34" t="s" s="17">
        <v>54</v>
      </c>
      <c r="D34" t="s" s="17">
        <v>38</v>
      </c>
      <c r="E34" s="15"/>
      <c r="F34" t="s" s="17">
        <v>21</v>
      </c>
      <c r="G34" s="15"/>
      <c r="H34" s="15"/>
      <c r="I34" s="15"/>
      <c r="J34" s="15"/>
      <c r="K34" s="15"/>
      <c r="L34" s="15"/>
      <c r="M34" s="15"/>
    </row>
    <row r="35" ht="13.55" customHeight="1">
      <c r="A35" s="15"/>
      <c r="B35" s="16">
        <v>34</v>
      </c>
      <c r="C35" t="s" s="17">
        <v>55</v>
      </c>
      <c r="D35" t="s" s="17">
        <v>20</v>
      </c>
      <c r="E35" s="15"/>
      <c r="F35" t="s" s="17">
        <v>21</v>
      </c>
      <c r="G35" s="15"/>
      <c r="H35" s="15"/>
      <c r="I35" s="15"/>
      <c r="J35" s="15"/>
      <c r="K35" s="15"/>
      <c r="L35" s="15"/>
      <c r="M35" s="15"/>
    </row>
    <row r="36" ht="13.55" customHeight="1">
      <c r="A36" s="15"/>
      <c r="B36" s="16">
        <v>35</v>
      </c>
      <c r="C36" t="s" s="17">
        <v>56</v>
      </c>
      <c r="D36" t="s" s="17">
        <v>20</v>
      </c>
      <c r="E36" s="15"/>
      <c r="F36" t="s" s="17">
        <v>21</v>
      </c>
      <c r="G36" s="15"/>
      <c r="H36" s="15"/>
      <c r="I36" s="15"/>
      <c r="J36" s="15"/>
      <c r="K36" s="15"/>
      <c r="L36" s="15"/>
      <c r="M36" s="15"/>
    </row>
    <row r="37" ht="13.55" customHeight="1">
      <c r="A37" s="15"/>
      <c r="B37" s="16">
        <v>36</v>
      </c>
      <c r="C37" t="s" s="17">
        <v>57</v>
      </c>
      <c r="D37" t="s" s="17">
        <v>38</v>
      </c>
      <c r="E37" s="15"/>
      <c r="F37" t="s" s="17">
        <v>21</v>
      </c>
      <c r="G37" s="15"/>
      <c r="H37" s="15"/>
      <c r="I37" s="15"/>
      <c r="J37" s="15"/>
      <c r="K37" s="15"/>
      <c r="L37" s="15"/>
      <c r="M37" s="15"/>
    </row>
    <row r="38" ht="13.55" customHeight="1">
      <c r="A38" s="15"/>
      <c r="B38" s="16">
        <v>37</v>
      </c>
      <c r="C38" t="s" s="17">
        <v>58</v>
      </c>
      <c r="D38" t="s" s="17">
        <v>20</v>
      </c>
      <c r="E38" s="15"/>
      <c r="F38" t="s" s="17">
        <v>21</v>
      </c>
      <c r="G38" s="15"/>
      <c r="H38" s="15"/>
      <c r="I38" s="15"/>
      <c r="J38" s="15"/>
      <c r="K38" s="15"/>
      <c r="L38" s="15"/>
      <c r="M38" s="15"/>
    </row>
    <row r="39" ht="13.55" customHeight="1">
      <c r="A39" s="15"/>
      <c r="B39" s="16">
        <v>38</v>
      </c>
      <c r="C39" t="s" s="17">
        <v>59</v>
      </c>
      <c r="D39" t="s" s="17">
        <v>20</v>
      </c>
      <c r="E39" s="15"/>
      <c r="F39" t="s" s="17">
        <v>21</v>
      </c>
      <c r="G39" s="15"/>
      <c r="H39" s="15"/>
      <c r="I39" s="15"/>
      <c r="J39" s="15"/>
      <c r="K39" s="15"/>
      <c r="L39" s="15"/>
      <c r="M39" s="15"/>
    </row>
    <row r="40" ht="13.55" customHeight="1">
      <c r="A40" s="15"/>
      <c r="B40" s="16">
        <v>39</v>
      </c>
      <c r="C40" t="s" s="17">
        <v>60</v>
      </c>
      <c r="D40" t="s" s="17">
        <v>38</v>
      </c>
      <c r="E40" s="15"/>
      <c r="F40" t="s" s="17">
        <v>21</v>
      </c>
      <c r="G40" s="15"/>
      <c r="H40" s="15"/>
      <c r="I40" s="15"/>
      <c r="J40" s="15"/>
      <c r="K40" s="15"/>
      <c r="L40" s="15"/>
      <c r="M40" s="15"/>
    </row>
    <row r="41" ht="13.55" customHeight="1">
      <c r="A41" s="15"/>
      <c r="B41" s="16">
        <v>40</v>
      </c>
      <c r="C41" t="s" s="17">
        <v>61</v>
      </c>
      <c r="D41" t="s" s="17">
        <v>20</v>
      </c>
      <c r="E41" s="15"/>
      <c r="F41" t="s" s="17">
        <v>21</v>
      </c>
      <c r="G41" s="15"/>
      <c r="H41" s="15"/>
      <c r="I41" s="15"/>
      <c r="J41" s="15"/>
      <c r="K41" s="15"/>
      <c r="L41" s="15"/>
      <c r="M41" s="15"/>
    </row>
    <row r="42" ht="13.55" customHeight="1">
      <c r="A42" s="15"/>
      <c r="B42" s="16">
        <v>41</v>
      </c>
      <c r="C42" t="s" s="17">
        <v>62</v>
      </c>
      <c r="D42" t="s" s="17">
        <v>38</v>
      </c>
      <c r="E42" s="15"/>
      <c r="F42" t="s" s="17">
        <v>21</v>
      </c>
      <c r="G42" s="15"/>
      <c r="H42" s="15"/>
      <c r="I42" s="15"/>
      <c r="J42" s="15"/>
      <c r="K42" s="15"/>
      <c r="L42" s="15"/>
      <c r="M42" s="15"/>
    </row>
    <row r="43" ht="13.55" customHeight="1">
      <c r="A43" s="15"/>
      <c r="B43" s="16">
        <v>42</v>
      </c>
      <c r="C43" t="s" s="17">
        <v>63</v>
      </c>
      <c r="D43" t="s" s="17">
        <v>20</v>
      </c>
      <c r="E43" s="15"/>
      <c r="F43" t="s" s="17">
        <v>21</v>
      </c>
      <c r="G43" s="15"/>
      <c r="H43" s="15"/>
      <c r="I43" s="15"/>
      <c r="J43" s="15"/>
      <c r="K43" s="15"/>
      <c r="L43" s="15"/>
      <c r="M43" s="15"/>
    </row>
    <row r="44" ht="13.55" customHeight="1">
      <c r="A44" s="15"/>
      <c r="B44" s="16">
        <v>43</v>
      </c>
      <c r="C44" t="s" s="17">
        <v>64</v>
      </c>
      <c r="D44" t="s" s="17">
        <v>20</v>
      </c>
      <c r="E44" s="15"/>
      <c r="F44" t="s" s="17">
        <v>21</v>
      </c>
      <c r="G44" s="15"/>
      <c r="H44" s="15"/>
      <c r="I44" s="15"/>
      <c r="J44" s="15"/>
      <c r="K44" s="15"/>
      <c r="L44" s="15"/>
      <c r="M44" s="15"/>
    </row>
    <row r="45" ht="13.55" customHeight="1">
      <c r="A45" s="15"/>
      <c r="B45" s="16">
        <v>44</v>
      </c>
      <c r="C45" t="s" s="17">
        <v>65</v>
      </c>
      <c r="D45" t="s" s="17">
        <v>38</v>
      </c>
      <c r="E45" s="15"/>
      <c r="F45" t="s" s="17">
        <v>21</v>
      </c>
      <c r="G45" s="15"/>
      <c r="H45" s="15"/>
      <c r="I45" s="15"/>
      <c r="J45" s="15"/>
      <c r="K45" s="15"/>
      <c r="L45" s="15"/>
      <c r="M45" s="15"/>
    </row>
    <row r="46" ht="13.55" customHeight="1">
      <c r="A46" s="15"/>
      <c r="B46" s="16">
        <v>45</v>
      </c>
      <c r="C46" t="s" s="17">
        <v>66</v>
      </c>
      <c r="D46" t="s" s="17">
        <v>20</v>
      </c>
      <c r="E46" s="15"/>
      <c r="F46" t="s" s="17">
        <v>21</v>
      </c>
      <c r="G46" s="15"/>
      <c r="H46" s="15"/>
      <c r="I46" s="15"/>
      <c r="J46" s="15"/>
      <c r="K46" s="15"/>
      <c r="L46" s="15"/>
      <c r="M46" s="15"/>
    </row>
    <row r="47" ht="13.55" customHeight="1">
      <c r="A47" s="15"/>
      <c r="B47" s="16">
        <v>46</v>
      </c>
      <c r="C47" t="s" s="17">
        <v>67</v>
      </c>
      <c r="D47" t="s" s="17">
        <v>20</v>
      </c>
      <c r="E47" s="15"/>
      <c r="F47" t="s" s="17">
        <v>21</v>
      </c>
      <c r="G47" s="15"/>
      <c r="H47" s="15"/>
      <c r="I47" s="15"/>
      <c r="J47" s="15"/>
      <c r="K47" s="15"/>
      <c r="L47" s="15"/>
      <c r="M47" s="15"/>
    </row>
    <row r="48" ht="13.55" customHeight="1">
      <c r="A48" s="15"/>
      <c r="B48" s="16">
        <v>47</v>
      </c>
      <c r="C48" t="s" s="17">
        <v>68</v>
      </c>
      <c r="D48" t="s" s="17">
        <v>20</v>
      </c>
      <c r="E48" s="15"/>
      <c r="F48" t="s" s="17">
        <v>21</v>
      </c>
      <c r="G48" s="15"/>
      <c r="H48" s="15"/>
      <c r="I48" s="15"/>
      <c r="J48" s="15"/>
      <c r="K48" s="15"/>
      <c r="L48" s="15"/>
      <c r="M48" s="15"/>
    </row>
    <row r="49" ht="13.55" customHeight="1">
      <c r="A49" s="15"/>
      <c r="B49" s="16">
        <v>48</v>
      </c>
      <c r="C49" t="s" s="17">
        <v>69</v>
      </c>
      <c r="D49" t="s" s="17">
        <v>20</v>
      </c>
      <c r="E49" s="15"/>
      <c r="F49" t="s" s="17">
        <v>21</v>
      </c>
      <c r="G49" s="15"/>
      <c r="H49" s="15"/>
      <c r="I49" s="15"/>
      <c r="J49" s="15"/>
      <c r="K49" s="15"/>
      <c r="L49" s="15"/>
      <c r="M49" s="15"/>
    </row>
    <row r="50" ht="13.55" customHeight="1">
      <c r="A50" s="15"/>
      <c r="B50" s="16">
        <v>49</v>
      </c>
      <c r="C50" t="s" s="17">
        <v>70</v>
      </c>
      <c r="D50" t="s" s="17">
        <v>38</v>
      </c>
      <c r="E50" s="15"/>
      <c r="F50" t="s" s="17">
        <v>21</v>
      </c>
      <c r="G50" s="15"/>
      <c r="H50" s="15"/>
      <c r="I50" s="15"/>
      <c r="J50" s="15"/>
      <c r="K50" s="15"/>
      <c r="L50" s="15"/>
      <c r="M50" s="15"/>
    </row>
    <row r="51" ht="13.55" customHeight="1">
      <c r="A51" s="15"/>
      <c r="B51" s="16">
        <v>50</v>
      </c>
      <c r="C51" t="s" s="17">
        <v>71</v>
      </c>
      <c r="D51" t="s" s="17">
        <v>20</v>
      </c>
      <c r="E51" s="15"/>
      <c r="F51" t="s" s="17">
        <v>21</v>
      </c>
      <c r="G51" s="15"/>
      <c r="H51" s="15"/>
      <c r="I51" s="15"/>
      <c r="J51" s="15"/>
      <c r="K51" s="15"/>
      <c r="L51" s="15"/>
      <c r="M51" s="15"/>
    </row>
    <row r="52" ht="13.55" customHeight="1">
      <c r="A52" s="15"/>
      <c r="B52" s="16">
        <v>51</v>
      </c>
      <c r="C52" t="s" s="17">
        <v>72</v>
      </c>
      <c r="D52" t="s" s="17">
        <v>38</v>
      </c>
      <c r="E52" s="15"/>
      <c r="F52" t="s" s="17">
        <v>21</v>
      </c>
      <c r="G52" s="15"/>
      <c r="H52" s="15"/>
      <c r="I52" s="15"/>
      <c r="J52" s="15"/>
      <c r="K52" s="15"/>
      <c r="L52" s="15"/>
      <c r="M52" s="15"/>
    </row>
    <row r="53" ht="13.55" customHeight="1">
      <c r="A53" s="15"/>
      <c r="B53" s="16">
        <v>52</v>
      </c>
      <c r="C53" t="s" s="17">
        <v>73</v>
      </c>
      <c r="D53" t="s" s="17">
        <v>20</v>
      </c>
      <c r="E53" s="15"/>
      <c r="F53" t="s" s="17">
        <v>21</v>
      </c>
      <c r="G53" s="15"/>
      <c r="H53" s="15"/>
      <c r="I53" s="15"/>
      <c r="J53" s="15"/>
      <c r="K53" s="15"/>
      <c r="L53" s="15"/>
      <c r="M53" s="15"/>
    </row>
    <row r="54" ht="13.55" customHeight="1">
      <c r="A54" s="15"/>
      <c r="B54" s="16">
        <v>53</v>
      </c>
      <c r="C54" t="s" s="17">
        <v>74</v>
      </c>
      <c r="D54" t="s" s="17">
        <v>20</v>
      </c>
      <c r="E54" s="15"/>
      <c r="F54" t="s" s="17">
        <v>21</v>
      </c>
      <c r="G54" s="15"/>
      <c r="H54" s="15"/>
      <c r="I54" s="15"/>
      <c r="J54" s="15"/>
      <c r="K54" s="15"/>
      <c r="L54" s="15"/>
      <c r="M54" s="15"/>
    </row>
    <row r="55" ht="13.55" customHeight="1">
      <c r="A55" s="15"/>
      <c r="B55" s="16">
        <v>54</v>
      </c>
      <c r="C55" t="s" s="17">
        <v>75</v>
      </c>
      <c r="D55" t="s" s="17">
        <v>20</v>
      </c>
      <c r="E55" s="15"/>
      <c r="F55" t="s" s="17">
        <v>21</v>
      </c>
      <c r="G55" s="15"/>
      <c r="H55" s="15"/>
      <c r="I55" s="15"/>
      <c r="J55" s="15"/>
      <c r="K55" s="15"/>
      <c r="L55" s="15"/>
      <c r="M55" s="15"/>
    </row>
    <row r="56" ht="13.55" customHeight="1">
      <c r="A56" s="15"/>
      <c r="B56" s="16">
        <v>55</v>
      </c>
      <c r="C56" t="s" s="17">
        <v>76</v>
      </c>
      <c r="D56" t="s" s="17">
        <v>20</v>
      </c>
      <c r="E56" s="15"/>
      <c r="F56" t="s" s="17">
        <v>21</v>
      </c>
      <c r="G56" s="15"/>
      <c r="H56" s="15"/>
      <c r="I56" s="15"/>
      <c r="J56" s="15"/>
      <c r="K56" s="15"/>
      <c r="L56" s="15"/>
      <c r="M56" s="15"/>
    </row>
    <row r="57" ht="13.55" customHeight="1">
      <c r="A57" s="15"/>
      <c r="B57" s="16">
        <v>56</v>
      </c>
      <c r="C57" t="s" s="17">
        <v>77</v>
      </c>
      <c r="D57" t="s" s="17">
        <v>20</v>
      </c>
      <c r="E57" s="15"/>
      <c r="F57" t="s" s="17">
        <v>21</v>
      </c>
      <c r="G57" s="15"/>
      <c r="H57" s="15"/>
      <c r="I57" s="15"/>
      <c r="J57" s="15"/>
      <c r="K57" s="15"/>
      <c r="L57" s="15"/>
      <c r="M57" s="15"/>
    </row>
    <row r="58" ht="13.55" customHeight="1">
      <c r="A58" s="15"/>
      <c r="B58" s="16">
        <v>57</v>
      </c>
      <c r="C58" t="s" s="17">
        <v>78</v>
      </c>
      <c r="D58" t="s" s="17">
        <v>20</v>
      </c>
      <c r="E58" s="15"/>
      <c r="F58" t="s" s="17">
        <v>21</v>
      </c>
      <c r="G58" s="15"/>
      <c r="H58" s="15"/>
      <c r="I58" s="15"/>
      <c r="J58" s="15"/>
      <c r="K58" s="15"/>
      <c r="L58" s="15"/>
      <c r="M58" s="15"/>
    </row>
    <row r="59" ht="13.55" customHeight="1">
      <c r="A59" s="15"/>
      <c r="B59" s="16">
        <v>58</v>
      </c>
      <c r="C59" t="s" s="17">
        <v>79</v>
      </c>
      <c r="D59" t="s" s="17">
        <v>38</v>
      </c>
      <c r="E59" s="15"/>
      <c r="F59" t="s" s="17">
        <v>21</v>
      </c>
      <c r="G59" s="15"/>
      <c r="H59" s="15"/>
      <c r="I59" s="15"/>
      <c r="J59" s="15"/>
      <c r="K59" s="15"/>
      <c r="L59" s="15"/>
      <c r="M59" s="15"/>
    </row>
    <row r="60" ht="13.55" customHeight="1">
      <c r="A60" s="15"/>
      <c r="B60" s="16">
        <v>59</v>
      </c>
      <c r="C60" t="s" s="17">
        <v>80</v>
      </c>
      <c r="D60" t="s" s="17">
        <v>20</v>
      </c>
      <c r="E60" s="15"/>
      <c r="F60" t="s" s="17">
        <v>21</v>
      </c>
      <c r="G60" s="15"/>
      <c r="H60" s="15"/>
      <c r="I60" s="15"/>
      <c r="J60" s="15"/>
      <c r="K60" s="15"/>
      <c r="L60" s="15"/>
      <c r="M60" s="15"/>
    </row>
    <row r="61" ht="13.55" customHeight="1">
      <c r="A61" s="15"/>
      <c r="B61" s="16">
        <v>60</v>
      </c>
      <c r="C61" t="s" s="17">
        <v>81</v>
      </c>
      <c r="D61" t="s" s="17">
        <v>20</v>
      </c>
      <c r="E61" s="15"/>
      <c r="F61" t="s" s="17">
        <v>21</v>
      </c>
      <c r="G61" s="15"/>
      <c r="H61" s="15"/>
      <c r="I61" s="15"/>
      <c r="J61" s="15"/>
      <c r="K61" s="15"/>
      <c r="L61" s="15"/>
      <c r="M61" s="15"/>
    </row>
    <row r="62" ht="13.55" customHeight="1">
      <c r="A62" s="15"/>
      <c r="B62" s="16">
        <v>61</v>
      </c>
      <c r="C62" t="s" s="17">
        <v>82</v>
      </c>
      <c r="D62" t="s" s="17">
        <v>20</v>
      </c>
      <c r="E62" s="15"/>
      <c r="F62" t="s" s="17">
        <v>21</v>
      </c>
      <c r="G62" s="15"/>
      <c r="H62" s="15"/>
      <c r="I62" s="15"/>
      <c r="J62" s="15"/>
      <c r="K62" s="15"/>
      <c r="L62" s="15"/>
      <c r="M62" s="15"/>
    </row>
    <row r="63" ht="13.55" customHeight="1">
      <c r="A63" s="15"/>
      <c r="B63" s="16">
        <v>62</v>
      </c>
      <c r="C63" t="s" s="17">
        <v>83</v>
      </c>
      <c r="D63" t="s" s="17">
        <v>20</v>
      </c>
      <c r="E63" s="15"/>
      <c r="F63" t="s" s="17">
        <v>21</v>
      </c>
      <c r="G63" s="15"/>
      <c r="H63" s="15"/>
      <c r="I63" s="15"/>
      <c r="J63" s="15"/>
      <c r="K63" s="15"/>
      <c r="L63" s="15"/>
      <c r="M63" s="15"/>
    </row>
    <row r="64" ht="13.55" customHeight="1">
      <c r="A64" s="15"/>
      <c r="B64" s="16">
        <v>63</v>
      </c>
      <c r="C64" t="s" s="17">
        <v>84</v>
      </c>
      <c r="D64" t="s" s="17">
        <v>20</v>
      </c>
      <c r="E64" s="15"/>
      <c r="F64" t="s" s="17">
        <v>21</v>
      </c>
      <c r="G64" s="15"/>
      <c r="H64" s="15"/>
      <c r="I64" s="15"/>
      <c r="J64" s="15"/>
      <c r="K64" s="15"/>
      <c r="L64" s="15"/>
      <c r="M64" s="15"/>
    </row>
    <row r="65" ht="13.55" customHeight="1">
      <c r="A65" s="15"/>
      <c r="B65" s="16">
        <v>64</v>
      </c>
      <c r="C65" t="s" s="17">
        <v>85</v>
      </c>
      <c r="D65" t="s" s="17">
        <v>20</v>
      </c>
      <c r="E65" s="15"/>
      <c r="F65" t="s" s="17">
        <v>21</v>
      </c>
      <c r="G65" s="15"/>
      <c r="H65" s="15"/>
      <c r="I65" s="15"/>
      <c r="J65" s="15"/>
      <c r="K65" s="15"/>
      <c r="L65" s="15"/>
      <c r="M65" s="15"/>
    </row>
    <row r="66" ht="13.55" customHeight="1">
      <c r="A66" s="15"/>
      <c r="B66" s="16">
        <v>65</v>
      </c>
      <c r="C66" t="s" s="17">
        <v>86</v>
      </c>
      <c r="D66" t="s" s="17">
        <v>38</v>
      </c>
      <c r="E66" s="15"/>
      <c r="F66" t="s" s="17">
        <v>21</v>
      </c>
      <c r="G66" s="15"/>
      <c r="H66" s="15"/>
      <c r="I66" s="15"/>
      <c r="J66" s="15"/>
      <c r="K66" s="15"/>
      <c r="L66" s="15"/>
      <c r="M66" s="15"/>
    </row>
    <row r="67" ht="13.55" customHeight="1">
      <c r="A67" s="15"/>
      <c r="B67" s="16">
        <v>66</v>
      </c>
      <c r="C67" t="s" s="17">
        <v>87</v>
      </c>
      <c r="D67" t="s" s="17">
        <v>20</v>
      </c>
      <c r="E67" s="15"/>
      <c r="F67" t="s" s="17">
        <v>21</v>
      </c>
      <c r="G67" s="15"/>
      <c r="H67" s="15"/>
      <c r="I67" s="15"/>
      <c r="J67" s="15"/>
      <c r="K67" s="15"/>
      <c r="L67" s="15"/>
      <c r="M67" s="15"/>
    </row>
    <row r="68" ht="13.55" customHeight="1">
      <c r="A68" s="15"/>
      <c r="B68" s="16">
        <v>67</v>
      </c>
      <c r="C68" t="s" s="17">
        <v>88</v>
      </c>
      <c r="D68" t="s" s="17">
        <v>38</v>
      </c>
      <c r="E68" s="15"/>
      <c r="F68" t="s" s="17">
        <v>21</v>
      </c>
      <c r="G68" s="15"/>
      <c r="H68" s="15"/>
      <c r="I68" s="15"/>
      <c r="J68" s="15"/>
      <c r="K68" s="15"/>
      <c r="L68" s="15"/>
      <c r="M68" s="15"/>
    </row>
    <row r="69" ht="13.55" customHeight="1">
      <c r="A69" s="15"/>
      <c r="B69" s="16">
        <v>68</v>
      </c>
      <c r="C69" t="s" s="17">
        <v>89</v>
      </c>
      <c r="D69" t="s" s="17">
        <v>20</v>
      </c>
      <c r="E69" s="15"/>
      <c r="F69" t="s" s="17">
        <v>21</v>
      </c>
      <c r="G69" s="15"/>
      <c r="H69" s="15"/>
      <c r="I69" s="15"/>
      <c r="J69" s="15"/>
      <c r="K69" s="15"/>
      <c r="L69" s="15"/>
      <c r="M69" s="15"/>
    </row>
    <row r="70" ht="13.55" customHeight="1">
      <c r="A70" s="15"/>
      <c r="B70" s="16">
        <v>69</v>
      </c>
      <c r="C70" t="s" s="17">
        <v>90</v>
      </c>
      <c r="D70" t="s" s="17">
        <v>20</v>
      </c>
      <c r="E70" s="15"/>
      <c r="F70" t="s" s="17">
        <v>21</v>
      </c>
      <c r="G70" s="15"/>
      <c r="H70" s="15"/>
      <c r="I70" s="15"/>
      <c r="J70" s="15"/>
      <c r="K70" s="15"/>
      <c r="L70" s="15"/>
      <c r="M70" s="15"/>
    </row>
    <row r="71" ht="13.55" customHeight="1">
      <c r="A71" s="15"/>
      <c r="B71" s="16">
        <v>70</v>
      </c>
      <c r="C71" t="s" s="17">
        <v>91</v>
      </c>
      <c r="D71" t="s" s="17">
        <v>20</v>
      </c>
      <c r="E71" s="15"/>
      <c r="F71" t="s" s="17">
        <v>21</v>
      </c>
      <c r="G71" s="15"/>
      <c r="H71" s="15"/>
      <c r="I71" s="15"/>
      <c r="J71" s="15"/>
      <c r="K71" s="15"/>
      <c r="L71" s="15"/>
      <c r="M71" s="15"/>
    </row>
    <row r="72" ht="13.55" customHeight="1">
      <c r="A72" s="15"/>
      <c r="B72" s="16">
        <v>71</v>
      </c>
      <c r="C72" t="s" s="17">
        <v>92</v>
      </c>
      <c r="D72" t="s" s="17">
        <v>20</v>
      </c>
      <c r="E72" s="15"/>
      <c r="F72" t="s" s="17">
        <v>21</v>
      </c>
      <c r="G72" s="15"/>
      <c r="H72" s="15"/>
      <c r="I72" s="15"/>
      <c r="J72" s="15"/>
      <c r="K72" s="15"/>
      <c r="L72" s="15"/>
      <c r="M72" s="15"/>
    </row>
    <row r="73" ht="13.55" customHeight="1">
      <c r="A73" s="15"/>
      <c r="B73" s="16">
        <v>72</v>
      </c>
      <c r="C73" t="s" s="17">
        <v>93</v>
      </c>
      <c r="D73" t="s" s="17">
        <v>20</v>
      </c>
      <c r="E73" s="15"/>
      <c r="F73" t="s" s="17">
        <v>21</v>
      </c>
      <c r="G73" s="15"/>
      <c r="H73" s="15"/>
      <c r="I73" s="15"/>
      <c r="J73" s="15"/>
      <c r="K73" s="15"/>
      <c r="L73" s="15"/>
      <c r="M73" s="15"/>
    </row>
    <row r="74" ht="13.55" customHeight="1">
      <c r="A74" s="15"/>
      <c r="B74" s="16">
        <v>73</v>
      </c>
      <c r="C74" t="s" s="17">
        <v>94</v>
      </c>
      <c r="D74" t="s" s="17">
        <v>20</v>
      </c>
      <c r="E74" s="15"/>
      <c r="F74" t="s" s="17">
        <v>21</v>
      </c>
      <c r="G74" s="15"/>
      <c r="H74" s="15"/>
      <c r="I74" s="15"/>
      <c r="J74" s="15"/>
      <c r="K74" s="15"/>
      <c r="L74" s="15"/>
      <c r="M74" s="15"/>
    </row>
    <row r="75" ht="13.55" customHeight="1">
      <c r="A75" s="15"/>
      <c r="B75" s="16">
        <v>74</v>
      </c>
      <c r="C75" t="s" s="17">
        <v>95</v>
      </c>
      <c r="D75" t="s" s="17">
        <v>20</v>
      </c>
      <c r="E75" s="15"/>
      <c r="F75" t="s" s="17">
        <v>21</v>
      </c>
      <c r="G75" s="15"/>
      <c r="H75" s="15"/>
      <c r="I75" s="15"/>
      <c r="J75" s="15"/>
      <c r="K75" s="15"/>
      <c r="L75" s="15"/>
      <c r="M75" s="15"/>
    </row>
    <row r="76" ht="13.55" customHeight="1">
      <c r="A76" s="15"/>
      <c r="B76" s="16">
        <v>75</v>
      </c>
      <c r="C76" t="s" s="17">
        <v>96</v>
      </c>
      <c r="D76" t="s" s="17">
        <v>20</v>
      </c>
      <c r="E76" s="15"/>
      <c r="F76" t="s" s="17">
        <v>21</v>
      </c>
      <c r="G76" s="15"/>
      <c r="H76" s="15"/>
      <c r="I76" s="15"/>
      <c r="J76" s="15"/>
      <c r="K76" s="15"/>
      <c r="L76" s="15"/>
      <c r="M76" s="15"/>
    </row>
    <row r="77" ht="13.55" customHeight="1">
      <c r="A77" s="15"/>
      <c r="B77" s="16">
        <v>76</v>
      </c>
      <c r="C77" t="s" s="17">
        <v>97</v>
      </c>
      <c r="D77" t="s" s="17">
        <v>20</v>
      </c>
      <c r="E77" s="15"/>
      <c r="F77" t="s" s="17">
        <v>21</v>
      </c>
      <c r="G77" s="15"/>
      <c r="H77" s="15"/>
      <c r="I77" s="15"/>
      <c r="J77" s="15"/>
      <c r="K77" s="15"/>
      <c r="L77" s="15"/>
      <c r="M77" s="15"/>
    </row>
    <row r="78" ht="13.55" customHeight="1">
      <c r="A78" s="15"/>
      <c r="B78" s="16">
        <v>77</v>
      </c>
      <c r="C78" t="s" s="17">
        <v>98</v>
      </c>
      <c r="D78" t="s" s="17">
        <v>20</v>
      </c>
      <c r="E78" s="15"/>
      <c r="F78" t="s" s="17">
        <v>21</v>
      </c>
      <c r="G78" s="15"/>
      <c r="H78" s="15"/>
      <c r="I78" s="15"/>
      <c r="J78" s="15"/>
      <c r="K78" s="15"/>
      <c r="L78" s="15"/>
      <c r="M78" s="15"/>
    </row>
    <row r="79" ht="13.55" customHeight="1">
      <c r="A79" s="15"/>
      <c r="B79" s="16">
        <v>78</v>
      </c>
      <c r="C79" t="s" s="17">
        <v>99</v>
      </c>
      <c r="D79" t="s" s="17">
        <v>20</v>
      </c>
      <c r="E79" s="15"/>
      <c r="F79" t="s" s="17">
        <v>21</v>
      </c>
      <c r="G79" s="15"/>
      <c r="H79" s="15"/>
      <c r="I79" s="15"/>
      <c r="J79" s="15"/>
      <c r="K79" s="15"/>
      <c r="L79" s="15"/>
      <c r="M79" s="15"/>
    </row>
    <row r="80" ht="13.55" customHeight="1">
      <c r="A80" s="15"/>
      <c r="B80" s="16">
        <v>79</v>
      </c>
      <c r="C80" t="s" s="17">
        <v>100</v>
      </c>
      <c r="D80" t="s" s="17">
        <v>20</v>
      </c>
      <c r="E80" s="15"/>
      <c r="F80" t="s" s="17">
        <v>21</v>
      </c>
      <c r="G80" s="15"/>
      <c r="H80" s="15"/>
      <c r="I80" s="15"/>
      <c r="J80" s="15"/>
      <c r="K80" s="15"/>
      <c r="L80" s="15"/>
      <c r="M80" s="15"/>
    </row>
    <row r="81" ht="13.55" customHeight="1">
      <c r="A81" s="15"/>
      <c r="B81" s="16">
        <v>80</v>
      </c>
      <c r="C81" t="s" s="17">
        <v>101</v>
      </c>
      <c r="D81" t="s" s="17">
        <v>20</v>
      </c>
      <c r="E81" s="15"/>
      <c r="F81" t="s" s="17">
        <v>21</v>
      </c>
      <c r="G81" s="15"/>
      <c r="H81" s="15"/>
      <c r="I81" s="15"/>
      <c r="J81" s="15"/>
      <c r="K81" s="15"/>
      <c r="L81" s="15"/>
      <c r="M81" s="15"/>
    </row>
    <row r="82" ht="13.55" customHeight="1">
      <c r="A82" s="15"/>
      <c r="B82" s="16">
        <v>81</v>
      </c>
      <c r="C82" t="s" s="17">
        <v>102</v>
      </c>
      <c r="D82" t="s" s="17">
        <v>20</v>
      </c>
      <c r="E82" s="15"/>
      <c r="F82" t="s" s="17">
        <v>21</v>
      </c>
      <c r="G82" s="15"/>
      <c r="H82" s="15"/>
      <c r="I82" s="15"/>
      <c r="J82" s="15"/>
      <c r="K82" s="15"/>
      <c r="L82" s="15"/>
      <c r="M82" s="15"/>
    </row>
    <row r="83" ht="13.55" customHeight="1">
      <c r="A83" s="15"/>
      <c r="B83" s="16">
        <v>82</v>
      </c>
      <c r="C83" t="s" s="17">
        <v>103</v>
      </c>
      <c r="D83" t="s" s="17">
        <v>38</v>
      </c>
      <c r="E83" s="15"/>
      <c r="F83" t="s" s="17">
        <v>21</v>
      </c>
      <c r="G83" s="15"/>
      <c r="H83" s="15"/>
      <c r="I83" s="15"/>
      <c r="J83" s="15"/>
      <c r="K83" s="15"/>
      <c r="L83" s="15"/>
      <c r="M83" s="15"/>
    </row>
    <row r="84" ht="13.55" customHeight="1">
      <c r="A84" s="15"/>
      <c r="B84" s="16">
        <v>83</v>
      </c>
      <c r="C84" t="s" s="17">
        <v>104</v>
      </c>
      <c r="D84" t="s" s="17">
        <v>38</v>
      </c>
      <c r="E84" s="15"/>
      <c r="F84" t="s" s="17">
        <v>21</v>
      </c>
      <c r="G84" s="15"/>
      <c r="H84" s="15"/>
      <c r="I84" s="15"/>
      <c r="J84" s="15"/>
      <c r="K84" s="15"/>
      <c r="L84" s="15"/>
      <c r="M84" s="15"/>
    </row>
    <row r="85" ht="13.55" customHeight="1">
      <c r="A85" s="15"/>
      <c r="B85" s="16">
        <v>84</v>
      </c>
      <c r="C85" t="s" s="17">
        <v>105</v>
      </c>
      <c r="D85" t="s" s="17">
        <v>20</v>
      </c>
      <c r="E85" s="15"/>
      <c r="F85" t="s" s="17">
        <v>21</v>
      </c>
      <c r="G85" s="15"/>
      <c r="H85" s="15"/>
      <c r="I85" s="15"/>
      <c r="J85" s="15"/>
      <c r="K85" s="15"/>
      <c r="L85" s="15"/>
      <c r="M85" s="15"/>
    </row>
    <row r="86" ht="13.55" customHeight="1">
      <c r="A86" s="15"/>
      <c r="B86" s="16">
        <v>85</v>
      </c>
      <c r="C86" t="s" s="17">
        <v>106</v>
      </c>
      <c r="D86" t="s" s="17">
        <v>20</v>
      </c>
      <c r="E86" s="15"/>
      <c r="F86" t="s" s="17">
        <v>21</v>
      </c>
      <c r="G86" s="15"/>
      <c r="H86" s="15"/>
      <c r="I86" s="15"/>
      <c r="J86" s="15"/>
      <c r="K86" s="15"/>
      <c r="L86" s="15"/>
      <c r="M86" s="15"/>
    </row>
    <row r="87" ht="13.55" customHeight="1">
      <c r="A87" s="15"/>
      <c r="B87" s="16">
        <v>86</v>
      </c>
      <c r="C87" t="s" s="17">
        <v>107</v>
      </c>
      <c r="D87" t="s" s="17">
        <v>20</v>
      </c>
      <c r="E87" s="15"/>
      <c r="F87" t="s" s="17">
        <v>21</v>
      </c>
      <c r="G87" s="15"/>
      <c r="H87" s="15"/>
      <c r="I87" s="15"/>
      <c r="J87" s="15"/>
      <c r="K87" s="15"/>
      <c r="L87" s="15"/>
      <c r="M87" s="15"/>
    </row>
    <row r="88" ht="13.55" customHeight="1">
      <c r="A88" s="15"/>
      <c r="B88" s="16">
        <v>87</v>
      </c>
      <c r="C88" t="s" s="17">
        <v>108</v>
      </c>
      <c r="D88" t="s" s="17">
        <v>20</v>
      </c>
      <c r="E88" s="15"/>
      <c r="F88" t="s" s="17">
        <v>21</v>
      </c>
      <c r="G88" s="15"/>
      <c r="H88" s="15"/>
      <c r="I88" s="15"/>
      <c r="J88" s="15"/>
      <c r="K88" s="15"/>
      <c r="L88" s="15"/>
      <c r="M88" s="15"/>
    </row>
    <row r="89" ht="13.55" customHeight="1">
      <c r="A89" s="15"/>
      <c r="B89" s="16">
        <v>88</v>
      </c>
      <c r="C89" t="s" s="17">
        <v>109</v>
      </c>
      <c r="D89" t="s" s="17">
        <v>20</v>
      </c>
      <c r="E89" s="15"/>
      <c r="F89" t="s" s="17">
        <v>21</v>
      </c>
      <c r="G89" s="15"/>
      <c r="H89" s="15"/>
      <c r="I89" s="15"/>
      <c r="J89" s="15"/>
      <c r="K89" s="15"/>
      <c r="L89" s="15"/>
      <c r="M89" s="15"/>
    </row>
    <row r="90" ht="13.55" customHeight="1">
      <c r="A90" s="15"/>
      <c r="B90" s="16">
        <v>89</v>
      </c>
      <c r="C90" t="s" s="17">
        <v>110</v>
      </c>
      <c r="D90" t="s" s="17">
        <v>20</v>
      </c>
      <c r="E90" s="15"/>
      <c r="F90" t="s" s="17">
        <v>21</v>
      </c>
      <c r="G90" s="15"/>
      <c r="H90" s="15"/>
      <c r="I90" s="15"/>
      <c r="J90" s="15"/>
      <c r="K90" s="15"/>
      <c r="L90" s="15"/>
      <c r="M90" s="15"/>
    </row>
    <row r="91" ht="13.55" customHeight="1">
      <c r="A91" s="15"/>
      <c r="B91" s="16">
        <v>90</v>
      </c>
      <c r="C91" t="s" s="17">
        <v>111</v>
      </c>
      <c r="D91" t="s" s="17">
        <v>38</v>
      </c>
      <c r="E91" s="15"/>
      <c r="F91" t="s" s="17">
        <v>21</v>
      </c>
      <c r="G91" s="15"/>
      <c r="H91" s="15"/>
      <c r="I91" s="15"/>
      <c r="J91" s="15"/>
      <c r="K91" s="15"/>
      <c r="L91" s="15"/>
      <c r="M91" s="15"/>
    </row>
    <row r="92" ht="13.55" customHeight="1">
      <c r="A92" s="15"/>
      <c r="B92" s="16">
        <v>91</v>
      </c>
      <c r="C92" t="s" s="17">
        <v>112</v>
      </c>
      <c r="D92" t="s" s="17">
        <v>20</v>
      </c>
      <c r="E92" s="15"/>
      <c r="F92" t="s" s="17">
        <v>21</v>
      </c>
      <c r="G92" s="15"/>
      <c r="H92" s="15"/>
      <c r="I92" s="15"/>
      <c r="J92" s="15"/>
      <c r="K92" s="15"/>
      <c r="L92" s="15"/>
      <c r="M92" s="15"/>
    </row>
    <row r="93" ht="13.55" customHeight="1">
      <c r="A93" s="15"/>
      <c r="B93" s="16">
        <v>92</v>
      </c>
      <c r="C93" t="s" s="17">
        <v>113</v>
      </c>
      <c r="D93" t="s" s="17">
        <v>20</v>
      </c>
      <c r="E93" s="15"/>
      <c r="F93" t="s" s="17">
        <v>21</v>
      </c>
      <c r="G93" s="15"/>
      <c r="H93" s="15"/>
      <c r="I93" s="15"/>
      <c r="J93" s="15"/>
      <c r="K93" s="15"/>
      <c r="L93" s="15"/>
      <c r="M93" s="15"/>
    </row>
    <row r="94" ht="13.55" customHeight="1">
      <c r="A94" s="15"/>
      <c r="B94" s="16">
        <v>93</v>
      </c>
      <c r="C94" t="s" s="17">
        <v>114</v>
      </c>
      <c r="D94" t="s" s="17">
        <v>20</v>
      </c>
      <c r="E94" s="15"/>
      <c r="F94" t="s" s="17">
        <v>21</v>
      </c>
      <c r="G94" s="15"/>
      <c r="H94" s="15"/>
      <c r="I94" s="15"/>
      <c r="J94" s="15"/>
      <c r="K94" s="15"/>
      <c r="L94" s="15"/>
      <c r="M94" s="15"/>
    </row>
    <row r="95" ht="13.55" customHeight="1">
      <c r="A95" s="15"/>
      <c r="B95" s="16">
        <v>94</v>
      </c>
      <c r="C95" t="s" s="17">
        <v>115</v>
      </c>
      <c r="D95" t="s" s="17">
        <v>20</v>
      </c>
      <c r="E95" s="15"/>
      <c r="F95" t="s" s="17">
        <v>21</v>
      </c>
      <c r="G95" s="15"/>
      <c r="H95" s="15"/>
      <c r="I95" s="15"/>
      <c r="J95" s="15"/>
      <c r="K95" s="15"/>
      <c r="L95" s="15"/>
      <c r="M95" s="15"/>
    </row>
    <row r="96" ht="13.55" customHeight="1">
      <c r="A96" s="15"/>
      <c r="B96" s="16">
        <v>95</v>
      </c>
      <c r="C96" t="s" s="17">
        <v>116</v>
      </c>
      <c r="D96" t="s" s="17">
        <v>20</v>
      </c>
      <c r="E96" s="15"/>
      <c r="F96" t="s" s="17">
        <v>21</v>
      </c>
      <c r="G96" s="15"/>
      <c r="H96" s="15"/>
      <c r="I96" s="15"/>
      <c r="J96" s="15"/>
      <c r="K96" s="15"/>
      <c r="L96" s="15"/>
      <c r="M96" s="15"/>
    </row>
    <row r="97" ht="13.55" customHeight="1">
      <c r="A97" s="15"/>
      <c r="B97" s="16">
        <v>96</v>
      </c>
      <c r="C97" t="s" s="17">
        <v>117</v>
      </c>
      <c r="D97" t="s" s="17">
        <v>20</v>
      </c>
      <c r="E97" s="15"/>
      <c r="F97" t="s" s="17">
        <v>21</v>
      </c>
      <c r="G97" s="15"/>
      <c r="H97" s="15"/>
      <c r="I97" s="15"/>
      <c r="J97" s="15"/>
      <c r="K97" s="15"/>
      <c r="L97" s="15"/>
      <c r="M97" s="15"/>
    </row>
    <row r="98" ht="13.55" customHeight="1">
      <c r="A98" s="15"/>
      <c r="B98" s="16">
        <v>97</v>
      </c>
      <c r="C98" t="s" s="17">
        <v>118</v>
      </c>
      <c r="D98" t="s" s="17">
        <v>20</v>
      </c>
      <c r="E98" s="15"/>
      <c r="F98" t="s" s="17">
        <v>21</v>
      </c>
      <c r="G98" s="15"/>
      <c r="H98" s="15"/>
      <c r="I98" s="15"/>
      <c r="J98" s="15"/>
      <c r="K98" s="15"/>
      <c r="L98" s="15"/>
      <c r="M98" s="15"/>
    </row>
    <row r="99" ht="13.55" customHeight="1">
      <c r="A99" s="15"/>
      <c r="B99" s="16">
        <v>98</v>
      </c>
      <c r="C99" t="s" s="17">
        <v>119</v>
      </c>
      <c r="D99" t="s" s="17">
        <v>20</v>
      </c>
      <c r="E99" s="15"/>
      <c r="F99" t="s" s="17">
        <v>21</v>
      </c>
      <c r="G99" s="15"/>
      <c r="H99" s="15"/>
      <c r="I99" s="15"/>
      <c r="J99" s="15"/>
      <c r="K99" s="15"/>
      <c r="L99" s="15"/>
      <c r="M99" s="15"/>
    </row>
    <row r="100" ht="13.55" customHeight="1">
      <c r="A100" s="15"/>
      <c r="B100" s="16">
        <v>99</v>
      </c>
      <c r="C100" t="s" s="17">
        <v>120</v>
      </c>
      <c r="D100" t="s" s="17">
        <v>20</v>
      </c>
      <c r="E100" s="15"/>
      <c r="F100" t="s" s="17">
        <v>21</v>
      </c>
      <c r="G100" s="15"/>
      <c r="H100" s="15"/>
      <c r="I100" s="15"/>
      <c r="J100" s="15"/>
      <c r="K100" s="15"/>
      <c r="L100" s="15"/>
      <c r="M100" s="15"/>
    </row>
    <row r="101" ht="13.55" customHeight="1">
      <c r="A101" s="15"/>
      <c r="B101" s="16">
        <v>100</v>
      </c>
      <c r="C101" t="s" s="17">
        <v>121</v>
      </c>
      <c r="D101" t="s" s="17">
        <v>20</v>
      </c>
      <c r="E101" s="15"/>
      <c r="F101" t="s" s="17">
        <v>21</v>
      </c>
      <c r="G101" s="15"/>
      <c r="H101" s="15"/>
      <c r="I101" s="15"/>
      <c r="J101" s="15"/>
      <c r="K101" s="15"/>
      <c r="L101" s="15"/>
      <c r="M101" s="15"/>
    </row>
    <row r="102" ht="13.55" customHeight="1">
      <c r="A102" s="15"/>
      <c r="B102" s="16">
        <v>101</v>
      </c>
      <c r="C102" t="s" s="17">
        <v>122</v>
      </c>
      <c r="D102" t="s" s="17">
        <v>20</v>
      </c>
      <c r="E102" s="15"/>
      <c r="F102" t="s" s="17">
        <v>21</v>
      </c>
      <c r="G102" s="15"/>
      <c r="H102" s="15"/>
      <c r="I102" s="15"/>
      <c r="J102" s="15"/>
      <c r="K102" s="15"/>
      <c r="L102" s="15"/>
      <c r="M102" s="15"/>
    </row>
    <row r="103" ht="13.55" customHeight="1">
      <c r="A103" s="15"/>
      <c r="B103" s="16">
        <v>102</v>
      </c>
      <c r="C103" t="s" s="17">
        <v>123</v>
      </c>
      <c r="D103" t="s" s="17">
        <v>20</v>
      </c>
      <c r="E103" s="15"/>
      <c r="F103" t="s" s="17">
        <v>21</v>
      </c>
      <c r="G103" s="15"/>
      <c r="H103" s="15"/>
      <c r="I103" s="15"/>
      <c r="J103" s="15"/>
      <c r="K103" s="15"/>
      <c r="L103" s="15"/>
      <c r="M103" s="15"/>
    </row>
    <row r="104" ht="13.55" customHeight="1">
      <c r="A104" s="15"/>
      <c r="B104" s="16">
        <v>103</v>
      </c>
      <c r="C104" t="s" s="17">
        <v>124</v>
      </c>
      <c r="D104" t="s" s="17">
        <v>20</v>
      </c>
      <c r="E104" s="15"/>
      <c r="F104" t="s" s="17">
        <v>21</v>
      </c>
      <c r="G104" s="15"/>
      <c r="H104" s="15"/>
      <c r="I104" s="15"/>
      <c r="J104" s="15"/>
      <c r="K104" s="15"/>
      <c r="L104" s="15"/>
      <c r="M104" s="15"/>
    </row>
    <row r="105" ht="13.55" customHeight="1">
      <c r="A105" s="15"/>
      <c r="B105" s="16">
        <v>104</v>
      </c>
      <c r="C105" t="s" s="17">
        <v>125</v>
      </c>
      <c r="D105" t="s" s="17">
        <v>20</v>
      </c>
      <c r="E105" s="15"/>
      <c r="F105" t="s" s="17">
        <v>21</v>
      </c>
      <c r="G105" s="15"/>
      <c r="H105" s="15"/>
      <c r="I105" s="15"/>
      <c r="J105" s="15"/>
      <c r="K105" s="15"/>
      <c r="L105" s="15"/>
      <c r="M105" s="15"/>
    </row>
    <row r="106" ht="13.55" customHeight="1">
      <c r="A106" s="15"/>
      <c r="B106" s="16">
        <v>105</v>
      </c>
      <c r="C106" t="s" s="17">
        <v>126</v>
      </c>
      <c r="D106" t="s" s="17">
        <v>20</v>
      </c>
      <c r="E106" s="15"/>
      <c r="F106" t="s" s="17">
        <v>21</v>
      </c>
      <c r="G106" s="15"/>
      <c r="H106" s="15"/>
      <c r="I106" s="15"/>
      <c r="J106" s="15"/>
      <c r="K106" s="15"/>
      <c r="L106" s="15"/>
      <c r="M106" s="15"/>
    </row>
    <row r="107" ht="13.55" customHeight="1">
      <c r="A107" s="15"/>
      <c r="B107" s="16">
        <v>106</v>
      </c>
      <c r="C107" t="s" s="17">
        <v>127</v>
      </c>
      <c r="D107" t="s" s="17">
        <v>20</v>
      </c>
      <c r="E107" s="15"/>
      <c r="F107" t="s" s="17">
        <v>21</v>
      </c>
      <c r="G107" s="15"/>
      <c r="H107" s="15"/>
      <c r="I107" s="15"/>
      <c r="J107" s="15"/>
      <c r="K107" s="15"/>
      <c r="L107" s="15"/>
      <c r="M107" s="15"/>
    </row>
    <row r="108" ht="13.55" customHeight="1">
      <c r="A108" s="15"/>
      <c r="B108" s="16">
        <v>107</v>
      </c>
      <c r="C108" t="s" s="17">
        <v>128</v>
      </c>
      <c r="D108" t="s" s="17">
        <v>20</v>
      </c>
      <c r="E108" s="15"/>
      <c r="F108" t="s" s="17">
        <v>21</v>
      </c>
      <c r="G108" s="15"/>
      <c r="H108" s="15"/>
      <c r="I108" s="15"/>
      <c r="J108" s="15"/>
      <c r="K108" s="15"/>
      <c r="L108" s="15"/>
      <c r="M108" s="15"/>
    </row>
    <row r="109" ht="13.55" customHeight="1">
      <c r="A109" s="15"/>
      <c r="B109" s="16">
        <v>108</v>
      </c>
      <c r="C109" t="s" s="17">
        <v>129</v>
      </c>
      <c r="D109" t="s" s="17">
        <v>20</v>
      </c>
      <c r="E109" s="15"/>
      <c r="F109" t="s" s="17">
        <v>21</v>
      </c>
      <c r="G109" s="15"/>
      <c r="H109" s="15"/>
      <c r="I109" s="15"/>
      <c r="J109" s="15"/>
      <c r="K109" s="15"/>
      <c r="L109" s="15"/>
      <c r="M109" s="15"/>
    </row>
    <row r="110" ht="13.55" customHeight="1">
      <c r="A110" s="15"/>
      <c r="B110" s="16">
        <v>109</v>
      </c>
      <c r="C110" t="s" s="17">
        <v>130</v>
      </c>
      <c r="D110" t="s" s="17">
        <v>38</v>
      </c>
      <c r="E110" s="15"/>
      <c r="F110" t="s" s="17">
        <v>21</v>
      </c>
      <c r="G110" s="15"/>
      <c r="H110" s="15"/>
      <c r="I110" s="15"/>
      <c r="J110" s="15"/>
      <c r="K110" s="15"/>
      <c r="L110" s="15"/>
      <c r="M110" s="15"/>
    </row>
    <row r="111" ht="13.55" customHeight="1">
      <c r="A111" s="15"/>
      <c r="B111" s="16">
        <v>110</v>
      </c>
      <c r="C111" t="s" s="17">
        <v>131</v>
      </c>
      <c r="D111" t="s" s="17">
        <v>20</v>
      </c>
      <c r="E111" s="15"/>
      <c r="F111" t="s" s="17">
        <v>21</v>
      </c>
      <c r="G111" s="15"/>
      <c r="H111" s="15"/>
      <c r="I111" s="15"/>
      <c r="J111" s="15"/>
      <c r="K111" s="15"/>
      <c r="L111" s="15"/>
      <c r="M111" s="15"/>
    </row>
    <row r="112" ht="13.55" customHeight="1">
      <c r="A112" s="15"/>
      <c r="B112" s="16">
        <v>111</v>
      </c>
      <c r="C112" t="s" s="17">
        <v>132</v>
      </c>
      <c r="D112" t="s" s="17">
        <v>20</v>
      </c>
      <c r="E112" s="15"/>
      <c r="F112" t="s" s="17">
        <v>21</v>
      </c>
      <c r="G112" s="15"/>
      <c r="H112" s="15"/>
      <c r="I112" s="15"/>
      <c r="J112" s="15"/>
      <c r="K112" s="15"/>
      <c r="L112" s="15"/>
      <c r="M112" s="15"/>
    </row>
    <row r="113" ht="13.55" customHeight="1">
      <c r="A113" s="15"/>
      <c r="B113" s="16">
        <v>112</v>
      </c>
      <c r="C113" t="s" s="17">
        <v>133</v>
      </c>
      <c r="D113" t="s" s="17">
        <v>20</v>
      </c>
      <c r="E113" s="15"/>
      <c r="F113" t="s" s="17">
        <v>21</v>
      </c>
      <c r="G113" s="15"/>
      <c r="H113" s="15"/>
      <c r="I113" s="15"/>
      <c r="J113" s="15"/>
      <c r="K113" s="15"/>
      <c r="L113" s="15"/>
      <c r="M113" s="15"/>
    </row>
    <row r="114" ht="13.55" customHeight="1">
      <c r="A114" s="15"/>
      <c r="B114" s="16">
        <v>113</v>
      </c>
      <c r="C114" t="s" s="17">
        <v>134</v>
      </c>
      <c r="D114" t="s" s="17">
        <v>20</v>
      </c>
      <c r="E114" s="15"/>
      <c r="F114" t="s" s="17">
        <v>21</v>
      </c>
      <c r="G114" s="15"/>
      <c r="H114" s="15"/>
      <c r="I114" s="15"/>
      <c r="J114" s="15"/>
      <c r="K114" s="15"/>
      <c r="L114" s="15"/>
      <c r="M114" s="15"/>
    </row>
    <row r="115" ht="13.55" customHeight="1">
      <c r="A115" s="15"/>
      <c r="B115" s="16">
        <v>114</v>
      </c>
      <c r="C115" t="s" s="17">
        <v>135</v>
      </c>
      <c r="D115" t="s" s="17">
        <v>20</v>
      </c>
      <c r="E115" s="15"/>
      <c r="F115" t="s" s="17">
        <v>21</v>
      </c>
      <c r="G115" s="15"/>
      <c r="H115" s="15"/>
      <c r="I115" s="15"/>
      <c r="J115" s="15"/>
      <c r="K115" s="15"/>
      <c r="L115" s="15"/>
      <c r="M115" s="15"/>
    </row>
    <row r="116" ht="13.55" customHeight="1">
      <c r="A116" s="15"/>
      <c r="B116" s="16">
        <v>115</v>
      </c>
      <c r="C116" t="s" s="17">
        <v>136</v>
      </c>
      <c r="D116" t="s" s="17">
        <v>20</v>
      </c>
      <c r="E116" s="15"/>
      <c r="F116" t="s" s="17">
        <v>21</v>
      </c>
      <c r="G116" s="15"/>
      <c r="H116" s="15"/>
      <c r="I116" s="15"/>
      <c r="J116" s="15"/>
      <c r="K116" s="15"/>
      <c r="L116" s="15"/>
      <c r="M116" s="15"/>
    </row>
    <row r="117" ht="13.55" customHeight="1">
      <c r="A117" s="15"/>
      <c r="B117" s="16">
        <v>116</v>
      </c>
      <c r="C117" t="s" s="17">
        <v>137</v>
      </c>
      <c r="D117" t="s" s="17">
        <v>20</v>
      </c>
      <c r="E117" s="15"/>
      <c r="F117" t="s" s="17">
        <v>21</v>
      </c>
      <c r="G117" s="15"/>
      <c r="H117" s="15"/>
      <c r="I117" s="15"/>
      <c r="J117" s="15"/>
      <c r="K117" s="15"/>
      <c r="L117" s="15"/>
      <c r="M117" s="15"/>
    </row>
    <row r="118" ht="13.55" customHeight="1">
      <c r="A118" s="15"/>
      <c r="B118" s="16">
        <v>117</v>
      </c>
      <c r="C118" t="s" s="17">
        <v>138</v>
      </c>
      <c r="D118" t="s" s="17">
        <v>20</v>
      </c>
      <c r="E118" s="15"/>
      <c r="F118" t="s" s="17">
        <v>21</v>
      </c>
      <c r="G118" s="15"/>
      <c r="H118" s="15"/>
      <c r="I118" s="15"/>
      <c r="J118" s="15"/>
      <c r="K118" s="15"/>
      <c r="L118" s="15"/>
      <c r="M118" s="15"/>
    </row>
    <row r="119" ht="13.55" customHeight="1">
      <c r="A119" s="15"/>
      <c r="B119" s="16">
        <v>118</v>
      </c>
      <c r="C119" t="s" s="17">
        <v>139</v>
      </c>
      <c r="D119" t="s" s="17">
        <v>20</v>
      </c>
      <c r="E119" s="15"/>
      <c r="F119" t="s" s="17">
        <v>21</v>
      </c>
      <c r="G119" s="15"/>
      <c r="H119" s="15"/>
      <c r="I119" s="15"/>
      <c r="J119" s="15"/>
      <c r="K119" s="15"/>
      <c r="L119" s="15"/>
      <c r="M119" s="15"/>
    </row>
    <row r="120" ht="13.55" customHeight="1">
      <c r="A120" s="15"/>
      <c r="B120" s="16">
        <v>119</v>
      </c>
      <c r="C120" t="s" s="17">
        <v>140</v>
      </c>
      <c r="D120" t="s" s="17">
        <v>20</v>
      </c>
      <c r="E120" s="15"/>
      <c r="F120" t="s" s="17">
        <v>21</v>
      </c>
      <c r="G120" s="15"/>
      <c r="H120" s="15"/>
      <c r="I120" s="15"/>
      <c r="J120" s="15"/>
      <c r="K120" s="15"/>
      <c r="L120" s="15"/>
      <c r="M120" s="15"/>
    </row>
    <row r="121" ht="13.55" customHeight="1">
      <c r="A121" s="15"/>
      <c r="B121" s="16">
        <v>120</v>
      </c>
      <c r="C121" t="s" s="17">
        <v>141</v>
      </c>
      <c r="D121" t="s" s="17">
        <v>20</v>
      </c>
      <c r="E121" s="15"/>
      <c r="F121" t="s" s="17">
        <v>21</v>
      </c>
      <c r="G121" s="15"/>
      <c r="H121" s="15"/>
      <c r="I121" s="15"/>
      <c r="J121" s="15"/>
      <c r="K121" s="15"/>
      <c r="L121" s="15"/>
      <c r="M121" s="15"/>
    </row>
    <row r="122" ht="13.55" customHeight="1">
      <c r="A122" s="15"/>
      <c r="B122" s="16">
        <v>121</v>
      </c>
      <c r="C122" t="s" s="17">
        <v>142</v>
      </c>
      <c r="D122" t="s" s="17">
        <v>20</v>
      </c>
      <c r="E122" s="15"/>
      <c r="F122" t="s" s="17">
        <v>21</v>
      </c>
      <c r="G122" s="15"/>
      <c r="H122" s="15"/>
      <c r="I122" s="15"/>
      <c r="J122" s="15"/>
      <c r="K122" s="15"/>
      <c r="L122" s="15"/>
      <c r="M122" s="15"/>
    </row>
    <row r="123" ht="13.55" customHeight="1">
      <c r="A123" s="15"/>
      <c r="B123" s="16">
        <v>122</v>
      </c>
      <c r="C123" t="s" s="17">
        <v>143</v>
      </c>
      <c r="D123" t="s" s="17">
        <v>20</v>
      </c>
      <c r="E123" s="15"/>
      <c r="F123" t="s" s="17">
        <v>21</v>
      </c>
      <c r="G123" s="15"/>
      <c r="H123" s="15"/>
      <c r="I123" s="15"/>
      <c r="J123" s="15"/>
      <c r="K123" s="15"/>
      <c r="L123" s="15"/>
      <c r="M123" s="15"/>
    </row>
    <row r="124" ht="13.55" customHeight="1">
      <c r="A124" s="15"/>
      <c r="B124" s="16">
        <v>123</v>
      </c>
      <c r="C124" t="s" s="17">
        <v>144</v>
      </c>
      <c r="D124" t="s" s="17">
        <v>20</v>
      </c>
      <c r="E124" s="15"/>
      <c r="F124" t="s" s="17">
        <v>21</v>
      </c>
      <c r="G124" s="15"/>
      <c r="H124" s="15"/>
      <c r="I124" s="15"/>
      <c r="J124" s="15"/>
      <c r="K124" s="15"/>
      <c r="L124" s="15"/>
      <c r="M124" s="15"/>
    </row>
    <row r="125" ht="13.55" customHeight="1">
      <c r="A125" s="15"/>
      <c r="B125" s="16">
        <v>124</v>
      </c>
      <c r="C125" t="s" s="17">
        <v>145</v>
      </c>
      <c r="D125" t="s" s="17">
        <v>20</v>
      </c>
      <c r="E125" s="15"/>
      <c r="F125" t="s" s="17">
        <v>21</v>
      </c>
      <c r="G125" s="15"/>
      <c r="H125" s="15"/>
      <c r="I125" s="15"/>
      <c r="J125" s="15"/>
      <c r="K125" s="15"/>
      <c r="L125" s="15"/>
      <c r="M125" s="15"/>
    </row>
    <row r="126" ht="13.55" customHeight="1">
      <c r="A126" s="15"/>
      <c r="B126" s="16">
        <v>125</v>
      </c>
      <c r="C126" t="s" s="17">
        <v>146</v>
      </c>
      <c r="D126" t="s" s="17">
        <v>38</v>
      </c>
      <c r="E126" s="15"/>
      <c r="F126" t="s" s="17">
        <v>21</v>
      </c>
      <c r="G126" s="15"/>
      <c r="H126" s="15"/>
      <c r="I126" s="15"/>
      <c r="J126" s="15"/>
      <c r="K126" s="15"/>
      <c r="L126" s="15"/>
      <c r="M126" s="15"/>
    </row>
    <row r="127" ht="13.55" customHeight="1">
      <c r="A127" s="15"/>
      <c r="B127" s="16">
        <v>126</v>
      </c>
      <c r="C127" t="s" s="17">
        <v>147</v>
      </c>
      <c r="D127" t="s" s="17">
        <v>20</v>
      </c>
      <c r="E127" s="15"/>
      <c r="F127" t="s" s="17">
        <v>21</v>
      </c>
      <c r="G127" s="15"/>
      <c r="H127" s="15"/>
      <c r="I127" s="15"/>
      <c r="J127" s="15"/>
      <c r="K127" s="15"/>
      <c r="L127" s="15"/>
      <c r="M127" s="15"/>
    </row>
    <row r="128" ht="13.55" customHeight="1">
      <c r="A128" s="15"/>
      <c r="B128" s="16">
        <v>127</v>
      </c>
      <c r="C128" t="s" s="17">
        <v>148</v>
      </c>
      <c r="D128" t="s" s="17">
        <v>20</v>
      </c>
      <c r="E128" s="15"/>
      <c r="F128" t="s" s="17">
        <v>21</v>
      </c>
      <c r="G128" s="15"/>
      <c r="H128" s="15"/>
      <c r="I128" s="15"/>
      <c r="J128" s="15"/>
      <c r="K128" s="15"/>
      <c r="L128" s="15"/>
      <c r="M128" s="15"/>
    </row>
    <row r="129" ht="13.55" customHeight="1">
      <c r="A129" s="15"/>
      <c r="B129" s="16">
        <v>128</v>
      </c>
      <c r="C129" t="s" s="17">
        <v>149</v>
      </c>
      <c r="D129" t="s" s="17">
        <v>20</v>
      </c>
      <c r="E129" s="15"/>
      <c r="F129" t="s" s="17">
        <v>21</v>
      </c>
      <c r="G129" s="15"/>
      <c r="H129" s="15"/>
      <c r="I129" s="15"/>
      <c r="J129" s="15"/>
      <c r="K129" s="15"/>
      <c r="L129" s="15"/>
      <c r="M129" s="15"/>
    </row>
    <row r="130" ht="13.55" customHeight="1">
      <c r="A130" s="15"/>
      <c r="B130" s="16">
        <v>129</v>
      </c>
      <c r="C130" t="s" s="17">
        <v>150</v>
      </c>
      <c r="D130" t="s" s="17">
        <v>20</v>
      </c>
      <c r="E130" s="15"/>
      <c r="F130" t="s" s="17">
        <v>21</v>
      </c>
      <c r="G130" s="15"/>
      <c r="H130" s="15"/>
      <c r="I130" s="15"/>
      <c r="J130" s="15"/>
      <c r="K130" s="15"/>
      <c r="L130" s="15"/>
      <c r="M130" s="15"/>
    </row>
    <row r="131" ht="13.55" customHeight="1">
      <c r="A131" s="15"/>
      <c r="B131" s="16">
        <v>130</v>
      </c>
      <c r="C131" t="s" s="17">
        <v>151</v>
      </c>
      <c r="D131" t="s" s="17">
        <v>20</v>
      </c>
      <c r="E131" s="15"/>
      <c r="F131" t="s" s="17">
        <v>21</v>
      </c>
      <c r="G131" s="15"/>
      <c r="H131" s="15"/>
      <c r="I131" s="15"/>
      <c r="J131" s="15"/>
      <c r="K131" s="15"/>
      <c r="L131" s="15"/>
      <c r="M131" s="15"/>
    </row>
    <row r="132" ht="13.55" customHeight="1">
      <c r="A132" s="15"/>
      <c r="B132" s="16">
        <v>131</v>
      </c>
      <c r="C132" t="s" s="17">
        <v>152</v>
      </c>
      <c r="D132" t="s" s="17">
        <v>20</v>
      </c>
      <c r="E132" s="15"/>
      <c r="F132" t="s" s="17">
        <v>21</v>
      </c>
      <c r="G132" s="15"/>
      <c r="H132" s="15"/>
      <c r="I132" s="15"/>
      <c r="J132" s="15"/>
      <c r="K132" s="15"/>
      <c r="L132" s="15"/>
      <c r="M132" s="15"/>
    </row>
    <row r="133" ht="13.55" customHeight="1">
      <c r="A133" s="15"/>
      <c r="B133" s="16">
        <v>132</v>
      </c>
      <c r="C133" t="s" s="17">
        <v>153</v>
      </c>
      <c r="D133" t="s" s="17">
        <v>20</v>
      </c>
      <c r="E133" s="15"/>
      <c r="F133" t="s" s="17">
        <v>21</v>
      </c>
      <c r="G133" s="15"/>
      <c r="H133" s="15"/>
      <c r="I133" s="15"/>
      <c r="J133" s="15"/>
      <c r="K133" s="15"/>
      <c r="L133" s="15"/>
      <c r="M133" s="15"/>
    </row>
    <row r="134" ht="13.55" customHeight="1">
      <c r="A134" s="15"/>
      <c r="B134" s="16">
        <v>133</v>
      </c>
      <c r="C134" t="s" s="17">
        <v>154</v>
      </c>
      <c r="D134" t="s" s="17">
        <v>20</v>
      </c>
      <c r="E134" s="15"/>
      <c r="F134" t="s" s="17">
        <v>21</v>
      </c>
      <c r="G134" s="15"/>
      <c r="H134" s="15"/>
      <c r="I134" s="15"/>
      <c r="J134" s="15"/>
      <c r="K134" s="15"/>
      <c r="L134" s="15"/>
      <c r="M134" s="15"/>
    </row>
    <row r="135" ht="13.55" customHeight="1">
      <c r="A135" s="15"/>
      <c r="B135" s="16">
        <v>134</v>
      </c>
      <c r="C135" t="s" s="17">
        <v>155</v>
      </c>
      <c r="D135" t="s" s="17">
        <v>20</v>
      </c>
      <c r="E135" s="15"/>
      <c r="F135" t="s" s="17">
        <v>21</v>
      </c>
      <c r="G135" s="15"/>
      <c r="H135" s="15"/>
      <c r="I135" s="15"/>
      <c r="J135" s="15"/>
      <c r="K135" s="15"/>
      <c r="L135" s="15"/>
      <c r="M135" s="15"/>
    </row>
    <row r="136" ht="13.55" customHeight="1">
      <c r="A136" s="15"/>
      <c r="B136" s="16">
        <v>135</v>
      </c>
      <c r="C136" t="s" s="17">
        <v>156</v>
      </c>
      <c r="D136" t="s" s="17">
        <v>20</v>
      </c>
      <c r="E136" s="15"/>
      <c r="F136" t="s" s="17">
        <v>21</v>
      </c>
      <c r="G136" s="15"/>
      <c r="H136" s="15"/>
      <c r="I136" s="15"/>
      <c r="J136" s="15"/>
      <c r="K136" s="15"/>
      <c r="L136" s="15"/>
      <c r="M136" s="15"/>
    </row>
    <row r="137" ht="13.55" customHeight="1">
      <c r="A137" s="15"/>
      <c r="B137" s="16">
        <v>136</v>
      </c>
      <c r="C137" t="s" s="17">
        <v>157</v>
      </c>
      <c r="D137" t="s" s="17">
        <v>20</v>
      </c>
      <c r="E137" s="15"/>
      <c r="F137" t="s" s="17">
        <v>21</v>
      </c>
      <c r="G137" s="15"/>
      <c r="H137" s="15"/>
      <c r="I137" s="15"/>
      <c r="J137" s="15"/>
      <c r="K137" s="15"/>
      <c r="L137" s="15"/>
      <c r="M137" s="15"/>
    </row>
    <row r="138" ht="13.55" customHeight="1">
      <c r="A138" s="15"/>
      <c r="B138" s="16">
        <v>137</v>
      </c>
      <c r="C138" t="s" s="17">
        <v>158</v>
      </c>
      <c r="D138" t="s" s="17">
        <v>20</v>
      </c>
      <c r="E138" s="15"/>
      <c r="F138" t="s" s="17">
        <v>21</v>
      </c>
      <c r="G138" s="15"/>
      <c r="H138" s="15"/>
      <c r="I138" s="15"/>
      <c r="J138" s="15"/>
      <c r="K138" s="15"/>
      <c r="L138" s="15"/>
      <c r="M138" s="15"/>
    </row>
    <row r="139" ht="13.55" customHeight="1">
      <c r="A139" s="15"/>
      <c r="B139" s="16">
        <v>138</v>
      </c>
      <c r="C139" t="s" s="17">
        <v>159</v>
      </c>
      <c r="D139" t="s" s="17">
        <v>38</v>
      </c>
      <c r="E139" s="15"/>
      <c r="F139" t="s" s="17">
        <v>21</v>
      </c>
      <c r="G139" s="15"/>
      <c r="H139" s="15"/>
      <c r="I139" s="15"/>
      <c r="J139" s="15"/>
      <c r="K139" s="15"/>
      <c r="L139" s="15"/>
      <c r="M139" s="15"/>
    </row>
    <row r="140" ht="13.55" customHeight="1">
      <c r="A140" s="15"/>
      <c r="B140" s="16">
        <v>139</v>
      </c>
      <c r="C140" t="s" s="17">
        <v>160</v>
      </c>
      <c r="D140" t="s" s="17">
        <v>20</v>
      </c>
      <c r="E140" s="15"/>
      <c r="F140" t="s" s="17">
        <v>21</v>
      </c>
      <c r="G140" s="15"/>
      <c r="H140" s="15"/>
      <c r="I140" s="15"/>
      <c r="J140" s="15"/>
      <c r="K140" s="15"/>
      <c r="L140" s="15"/>
      <c r="M140" s="15"/>
    </row>
    <row r="141" ht="13.55" customHeight="1">
      <c r="A141" s="15"/>
      <c r="B141" s="16">
        <v>140</v>
      </c>
      <c r="C141" t="s" s="17">
        <v>161</v>
      </c>
      <c r="D141" t="s" s="17">
        <v>38</v>
      </c>
      <c r="E141" s="15"/>
      <c r="F141" t="s" s="17">
        <v>21</v>
      </c>
      <c r="G141" s="15"/>
      <c r="H141" s="15"/>
      <c r="I141" s="15"/>
      <c r="J141" s="15"/>
      <c r="K141" s="15"/>
      <c r="L141" s="15"/>
      <c r="M141" s="15"/>
    </row>
    <row r="142" ht="13.55" customHeight="1">
      <c r="A142" s="15"/>
      <c r="B142" s="16">
        <v>141</v>
      </c>
      <c r="C142" t="s" s="17">
        <v>162</v>
      </c>
      <c r="D142" t="s" s="17">
        <v>20</v>
      </c>
      <c r="E142" s="15"/>
      <c r="F142" t="s" s="17">
        <v>21</v>
      </c>
      <c r="G142" s="15"/>
      <c r="H142" s="15"/>
      <c r="I142" s="15"/>
      <c r="J142" s="15"/>
      <c r="K142" s="15"/>
      <c r="L142" s="15"/>
      <c r="M142" s="15"/>
    </row>
    <row r="143" ht="13.55" customHeight="1">
      <c r="A143" s="15"/>
      <c r="B143" s="16">
        <v>142</v>
      </c>
      <c r="C143" t="s" s="17">
        <v>163</v>
      </c>
      <c r="D143" t="s" s="17">
        <v>20</v>
      </c>
      <c r="E143" s="15"/>
      <c r="F143" t="s" s="17">
        <v>21</v>
      </c>
      <c r="G143" s="15"/>
      <c r="H143" s="15"/>
      <c r="I143" s="15"/>
      <c r="J143" s="15"/>
      <c r="K143" s="15"/>
      <c r="L143" s="15"/>
      <c r="M143" s="15"/>
    </row>
    <row r="144" ht="13.55" customHeight="1">
      <c r="A144" s="15"/>
      <c r="B144" s="16">
        <v>143</v>
      </c>
      <c r="C144" t="s" s="17">
        <v>164</v>
      </c>
      <c r="D144" t="s" s="17">
        <v>20</v>
      </c>
      <c r="E144" s="15"/>
      <c r="F144" t="s" s="17">
        <v>21</v>
      </c>
      <c r="G144" s="15"/>
      <c r="H144" s="15"/>
      <c r="I144" s="15"/>
      <c r="J144" s="15"/>
      <c r="K144" s="15"/>
      <c r="L144" s="15"/>
      <c r="M144" s="15"/>
    </row>
    <row r="145" ht="13.55" customHeight="1">
      <c r="A145" s="15"/>
      <c r="B145" s="16">
        <v>144</v>
      </c>
      <c r="C145" t="s" s="17">
        <v>165</v>
      </c>
      <c r="D145" t="s" s="17">
        <v>20</v>
      </c>
      <c r="E145" s="15"/>
      <c r="F145" t="s" s="17">
        <v>21</v>
      </c>
      <c r="G145" s="15"/>
      <c r="H145" s="15"/>
      <c r="I145" s="15"/>
      <c r="J145" s="15"/>
      <c r="K145" s="15"/>
      <c r="L145" s="15"/>
      <c r="M145" s="15"/>
    </row>
    <row r="146" ht="13.55" customHeight="1">
      <c r="A146" s="15"/>
      <c r="B146" s="16">
        <v>145</v>
      </c>
      <c r="C146" t="s" s="17">
        <v>166</v>
      </c>
      <c r="D146" t="s" s="17">
        <v>20</v>
      </c>
      <c r="E146" s="15"/>
      <c r="F146" t="s" s="17">
        <v>21</v>
      </c>
      <c r="G146" s="15"/>
      <c r="H146" s="15"/>
      <c r="I146" s="15"/>
      <c r="J146" s="15"/>
      <c r="K146" s="15"/>
      <c r="L146" s="15"/>
      <c r="M146" s="15"/>
    </row>
    <row r="147" ht="13.55" customHeight="1">
      <c r="A147" s="15"/>
      <c r="B147" s="16">
        <v>146</v>
      </c>
      <c r="C147" t="s" s="17">
        <v>167</v>
      </c>
      <c r="D147" t="s" s="17">
        <v>20</v>
      </c>
      <c r="E147" s="15"/>
      <c r="F147" t="s" s="17">
        <v>21</v>
      </c>
      <c r="G147" s="15"/>
      <c r="H147" s="15"/>
      <c r="I147" s="15"/>
      <c r="J147" s="15"/>
      <c r="K147" s="15"/>
      <c r="L147" s="15"/>
      <c r="M147" s="15"/>
    </row>
    <row r="148" ht="13.55" customHeight="1">
      <c r="A148" s="15"/>
      <c r="B148" s="16">
        <v>147</v>
      </c>
      <c r="C148" t="s" s="17">
        <v>168</v>
      </c>
      <c r="D148" t="s" s="17">
        <v>20</v>
      </c>
      <c r="E148" s="15"/>
      <c r="F148" t="s" s="17">
        <v>21</v>
      </c>
      <c r="G148" s="15"/>
      <c r="H148" s="15"/>
      <c r="I148" s="15"/>
      <c r="J148" s="15"/>
      <c r="K148" s="15"/>
      <c r="L148" s="15"/>
      <c r="M148" s="15"/>
    </row>
    <row r="149" ht="13.55" customHeight="1">
      <c r="A149" s="15"/>
      <c r="B149" s="16">
        <v>148</v>
      </c>
      <c r="C149" t="s" s="17">
        <v>169</v>
      </c>
      <c r="D149" t="s" s="17">
        <v>20</v>
      </c>
      <c r="E149" s="15"/>
      <c r="F149" t="s" s="17">
        <v>21</v>
      </c>
      <c r="G149" s="15"/>
      <c r="H149" s="15"/>
      <c r="I149" s="15"/>
      <c r="J149" s="15"/>
      <c r="K149" s="15"/>
      <c r="L149" s="15"/>
      <c r="M149" s="15"/>
    </row>
    <row r="150" ht="13.55" customHeight="1">
      <c r="A150" s="15"/>
      <c r="B150" s="16">
        <v>149</v>
      </c>
      <c r="C150" t="s" s="17">
        <v>170</v>
      </c>
      <c r="D150" t="s" s="17">
        <v>20</v>
      </c>
      <c r="E150" s="15"/>
      <c r="F150" t="s" s="17">
        <v>21</v>
      </c>
      <c r="G150" s="15"/>
      <c r="H150" s="15"/>
      <c r="I150" s="15"/>
      <c r="J150" s="15"/>
      <c r="K150" s="15"/>
      <c r="L150" s="15"/>
      <c r="M150" s="15"/>
    </row>
    <row r="151" ht="13.55" customHeight="1">
      <c r="A151" s="15"/>
      <c r="B151" s="16">
        <v>150</v>
      </c>
      <c r="C151" t="s" s="17">
        <v>171</v>
      </c>
      <c r="D151" t="s" s="17">
        <v>20</v>
      </c>
      <c r="E151" s="15"/>
      <c r="F151" t="s" s="17">
        <v>21</v>
      </c>
      <c r="G151" s="15"/>
      <c r="H151" s="15"/>
      <c r="I151" s="15"/>
      <c r="J151" s="15"/>
      <c r="K151" s="15"/>
      <c r="L151" s="15"/>
      <c r="M151" s="15"/>
    </row>
    <row r="152" ht="13.55" customHeight="1">
      <c r="A152" s="15"/>
      <c r="B152" s="16">
        <v>151</v>
      </c>
      <c r="C152" t="s" s="17">
        <v>172</v>
      </c>
      <c r="D152" t="s" s="17">
        <v>20</v>
      </c>
      <c r="E152" s="15"/>
      <c r="F152" t="s" s="17">
        <v>21</v>
      </c>
      <c r="G152" s="15"/>
      <c r="H152" s="15"/>
      <c r="I152" s="15"/>
      <c r="J152" s="15"/>
      <c r="K152" s="15"/>
      <c r="L152" s="15"/>
      <c r="M152" s="15"/>
    </row>
    <row r="153" ht="13.55" customHeight="1">
      <c r="A153" s="15"/>
      <c r="B153" s="16">
        <v>152</v>
      </c>
      <c r="C153" t="s" s="17">
        <v>173</v>
      </c>
      <c r="D153" t="s" s="17">
        <v>20</v>
      </c>
      <c r="E153" s="15"/>
      <c r="F153" t="s" s="17">
        <v>21</v>
      </c>
      <c r="G153" s="15"/>
      <c r="H153" s="15"/>
      <c r="I153" s="15"/>
      <c r="J153" s="15"/>
      <c r="K153" s="15"/>
      <c r="L153" s="15"/>
      <c r="M153" s="15"/>
    </row>
    <row r="154" ht="13.55" customHeight="1">
      <c r="A154" s="15"/>
      <c r="B154" s="16">
        <v>153</v>
      </c>
      <c r="C154" t="s" s="17">
        <v>174</v>
      </c>
      <c r="D154" t="s" s="17">
        <v>20</v>
      </c>
      <c r="E154" s="15"/>
      <c r="F154" t="s" s="17">
        <v>21</v>
      </c>
      <c r="G154" s="15"/>
      <c r="H154" s="15"/>
      <c r="I154" s="15"/>
      <c r="J154" s="15"/>
      <c r="K154" s="15"/>
      <c r="L154" s="15"/>
      <c r="M154" s="15"/>
    </row>
    <row r="155" ht="13.55" customHeight="1">
      <c r="A155" s="15"/>
      <c r="B155" s="16">
        <v>154</v>
      </c>
      <c r="C155" t="s" s="17">
        <v>175</v>
      </c>
      <c r="D155" t="s" s="17">
        <v>20</v>
      </c>
      <c r="E155" s="15"/>
      <c r="F155" t="s" s="17">
        <v>21</v>
      </c>
      <c r="G155" s="15"/>
      <c r="H155" s="15"/>
      <c r="I155" s="15"/>
      <c r="J155" s="15"/>
      <c r="K155" s="15"/>
      <c r="L155" s="15"/>
      <c r="M155" s="15"/>
    </row>
    <row r="156" ht="13.55" customHeight="1">
      <c r="A156" s="15"/>
      <c r="B156" s="16">
        <v>155</v>
      </c>
      <c r="C156" t="s" s="17">
        <v>176</v>
      </c>
      <c r="D156" t="s" s="17">
        <v>20</v>
      </c>
      <c r="E156" s="15"/>
      <c r="F156" t="s" s="17">
        <v>21</v>
      </c>
      <c r="G156" s="15"/>
      <c r="H156" s="15"/>
      <c r="I156" s="15"/>
      <c r="J156" s="15"/>
      <c r="K156" s="15"/>
      <c r="L156" s="15"/>
      <c r="M156" s="15"/>
    </row>
    <row r="157" ht="13.55" customHeight="1">
      <c r="A157" s="15"/>
      <c r="B157" s="16">
        <v>156</v>
      </c>
      <c r="C157" t="s" s="17">
        <v>177</v>
      </c>
      <c r="D157" t="s" s="17">
        <v>38</v>
      </c>
      <c r="E157" s="15"/>
      <c r="F157" t="s" s="17">
        <v>21</v>
      </c>
      <c r="G157" s="15"/>
      <c r="H157" s="15"/>
      <c r="I157" s="15"/>
      <c r="J157" s="15"/>
      <c r="K157" s="15"/>
      <c r="L157" s="15"/>
      <c r="M157" s="15"/>
    </row>
    <row r="158" ht="13.55" customHeight="1">
      <c r="A158" s="15"/>
      <c r="B158" s="16">
        <v>157</v>
      </c>
      <c r="C158" t="s" s="17">
        <v>178</v>
      </c>
      <c r="D158" t="s" s="17">
        <v>38</v>
      </c>
      <c r="E158" s="15"/>
      <c r="F158" t="s" s="17">
        <v>21</v>
      </c>
      <c r="G158" s="15"/>
      <c r="H158" s="15"/>
      <c r="I158" s="15"/>
      <c r="J158" s="15"/>
      <c r="K158" s="15"/>
      <c r="L158" s="15"/>
      <c r="M158" s="15"/>
    </row>
    <row r="159" ht="13.55" customHeight="1">
      <c r="A159" s="15"/>
      <c r="B159" s="16">
        <v>158</v>
      </c>
      <c r="C159" t="s" s="17">
        <v>179</v>
      </c>
      <c r="D159" t="s" s="17">
        <v>38</v>
      </c>
      <c r="E159" s="15"/>
      <c r="F159" t="s" s="17">
        <v>21</v>
      </c>
      <c r="G159" s="15"/>
      <c r="H159" s="15"/>
      <c r="I159" s="15"/>
      <c r="J159" s="15"/>
      <c r="K159" s="15"/>
      <c r="L159" s="15"/>
      <c r="M159" s="15"/>
    </row>
    <row r="160" ht="13.55" customHeight="1">
      <c r="A160" s="15"/>
      <c r="B160" s="16">
        <v>159</v>
      </c>
      <c r="C160" t="s" s="17">
        <v>180</v>
      </c>
      <c r="D160" t="s" s="17">
        <v>38</v>
      </c>
      <c r="E160" s="15"/>
      <c r="F160" t="s" s="17">
        <v>21</v>
      </c>
      <c r="G160" s="15"/>
      <c r="H160" s="15"/>
      <c r="I160" s="15"/>
      <c r="J160" s="15"/>
      <c r="K160" s="15"/>
      <c r="L160" s="15"/>
      <c r="M160" s="15"/>
    </row>
    <row r="161" ht="13.55" customHeight="1">
      <c r="A161" s="15"/>
      <c r="B161" s="16">
        <v>160</v>
      </c>
      <c r="C161" t="s" s="17">
        <v>181</v>
      </c>
      <c r="D161" t="s" s="17">
        <v>38</v>
      </c>
      <c r="E161" s="15"/>
      <c r="F161" t="s" s="17">
        <v>21</v>
      </c>
      <c r="G161" s="15"/>
      <c r="H161" s="15"/>
      <c r="I161" s="15"/>
      <c r="J161" s="15"/>
      <c r="K161" s="15"/>
      <c r="L161" s="15"/>
      <c r="M161" s="15"/>
    </row>
    <row r="162" ht="13.55" customHeight="1">
      <c r="A162" s="15"/>
      <c r="B162" s="16">
        <v>161</v>
      </c>
      <c r="C162" t="s" s="17">
        <v>182</v>
      </c>
      <c r="D162" t="s" s="17">
        <v>38</v>
      </c>
      <c r="E162" s="15"/>
      <c r="F162" t="s" s="17">
        <v>21</v>
      </c>
      <c r="G162" s="15"/>
      <c r="H162" s="15"/>
      <c r="I162" s="15"/>
      <c r="J162" s="15"/>
      <c r="K162" s="15"/>
      <c r="L162" s="15"/>
      <c r="M162" s="15"/>
    </row>
    <row r="163" ht="13.55" customHeight="1">
      <c r="A163" s="15"/>
      <c r="B163" s="16">
        <v>162</v>
      </c>
      <c r="C163" t="s" s="17">
        <v>183</v>
      </c>
      <c r="D163" t="s" s="17">
        <v>20</v>
      </c>
      <c r="E163" s="15"/>
      <c r="F163" t="s" s="17">
        <v>21</v>
      </c>
      <c r="G163" s="15"/>
      <c r="H163" s="15"/>
      <c r="I163" s="15"/>
      <c r="J163" s="15"/>
      <c r="K163" s="15"/>
      <c r="L163" s="15"/>
      <c r="M163" s="15"/>
    </row>
    <row r="164" ht="13.55" customHeight="1">
      <c r="A164" s="15"/>
      <c r="B164" s="16">
        <v>163</v>
      </c>
      <c r="C164" t="s" s="17">
        <v>184</v>
      </c>
      <c r="D164" t="s" s="17">
        <v>20</v>
      </c>
      <c r="E164" s="15"/>
      <c r="F164" t="s" s="17">
        <v>21</v>
      </c>
      <c r="G164" s="15"/>
      <c r="H164" s="15"/>
      <c r="I164" s="15"/>
      <c r="J164" s="15"/>
      <c r="K164" s="15"/>
      <c r="L164" s="15"/>
      <c r="M164" s="15"/>
    </row>
    <row r="165" ht="13.55" customHeight="1">
      <c r="A165" s="15"/>
      <c r="B165" s="16">
        <v>164</v>
      </c>
      <c r="C165" t="s" s="17">
        <v>185</v>
      </c>
      <c r="D165" t="s" s="17">
        <v>20</v>
      </c>
      <c r="E165" s="15"/>
      <c r="F165" t="s" s="17">
        <v>21</v>
      </c>
      <c r="G165" s="15"/>
      <c r="H165" s="15"/>
      <c r="I165" s="15"/>
      <c r="J165" s="15"/>
      <c r="K165" s="15"/>
      <c r="L165" s="15"/>
      <c r="M165" s="15"/>
    </row>
    <row r="166" ht="13.55" customHeight="1">
      <c r="A166" s="15"/>
      <c r="B166" s="16">
        <v>165</v>
      </c>
      <c r="C166" t="s" s="17">
        <v>186</v>
      </c>
      <c r="D166" t="s" s="17">
        <v>20</v>
      </c>
      <c r="E166" s="15"/>
      <c r="F166" t="s" s="17">
        <v>21</v>
      </c>
      <c r="G166" s="15"/>
      <c r="H166" s="15"/>
      <c r="I166" s="15"/>
      <c r="J166" s="15"/>
      <c r="K166" s="15"/>
      <c r="L166" s="15"/>
      <c r="M166" s="15"/>
    </row>
    <row r="167" ht="13.55" customHeight="1">
      <c r="A167" s="15"/>
      <c r="B167" s="16">
        <v>166</v>
      </c>
      <c r="C167" t="s" s="17">
        <v>187</v>
      </c>
      <c r="D167" t="s" s="17">
        <v>20</v>
      </c>
      <c r="E167" s="15"/>
      <c r="F167" t="s" s="17">
        <v>21</v>
      </c>
      <c r="G167" s="15"/>
      <c r="H167" s="15"/>
      <c r="I167" s="15"/>
      <c r="J167" s="15"/>
      <c r="K167" s="15"/>
      <c r="L167" s="15"/>
      <c r="M167" s="15"/>
    </row>
    <row r="168" ht="13.55" customHeight="1">
      <c r="A168" s="15"/>
      <c r="B168" s="16">
        <v>167</v>
      </c>
      <c r="C168" t="s" s="17">
        <v>188</v>
      </c>
      <c r="D168" t="s" s="17">
        <v>20</v>
      </c>
      <c r="E168" s="15"/>
      <c r="F168" t="s" s="17">
        <v>21</v>
      </c>
      <c r="G168" s="15"/>
      <c r="H168" s="15"/>
      <c r="I168" s="15"/>
      <c r="J168" s="15"/>
      <c r="K168" s="15"/>
      <c r="L168" s="15"/>
      <c r="M168" s="15"/>
    </row>
    <row r="169" ht="13.55" customHeight="1">
      <c r="A169" s="15"/>
      <c r="B169" s="16">
        <v>168</v>
      </c>
      <c r="C169" t="s" s="17">
        <v>189</v>
      </c>
      <c r="D169" t="s" s="17">
        <v>20</v>
      </c>
      <c r="E169" s="15"/>
      <c r="F169" t="s" s="17">
        <v>21</v>
      </c>
      <c r="G169" s="15"/>
      <c r="H169" s="15"/>
      <c r="I169" s="15"/>
      <c r="J169" s="15"/>
      <c r="K169" s="15"/>
      <c r="L169" s="15"/>
      <c r="M169" s="15"/>
    </row>
    <row r="170" ht="13.55" customHeight="1">
      <c r="A170" s="15"/>
      <c r="B170" s="16">
        <v>169</v>
      </c>
      <c r="C170" t="s" s="17">
        <v>190</v>
      </c>
      <c r="D170" t="s" s="17">
        <v>20</v>
      </c>
      <c r="E170" s="15"/>
      <c r="F170" t="s" s="17">
        <v>21</v>
      </c>
      <c r="G170" s="15"/>
      <c r="H170" s="15"/>
      <c r="I170" s="15"/>
      <c r="J170" s="15"/>
      <c r="K170" s="15"/>
      <c r="L170" s="15"/>
      <c r="M170" s="15"/>
    </row>
    <row r="171" ht="13.55" customHeight="1">
      <c r="A171" s="15"/>
      <c r="B171" s="16">
        <v>170</v>
      </c>
      <c r="C171" t="s" s="17">
        <v>191</v>
      </c>
      <c r="D171" t="s" s="17">
        <v>20</v>
      </c>
      <c r="E171" s="15"/>
      <c r="F171" t="s" s="17">
        <v>21</v>
      </c>
      <c r="G171" s="15"/>
      <c r="H171" s="15"/>
      <c r="I171" s="15"/>
      <c r="J171" s="15"/>
      <c r="K171" s="15"/>
      <c r="L171" s="15"/>
      <c r="M171" s="15"/>
    </row>
    <row r="172" ht="13.55" customHeight="1">
      <c r="A172" s="15"/>
      <c r="B172" s="16">
        <v>171</v>
      </c>
      <c r="C172" t="s" s="17">
        <v>192</v>
      </c>
      <c r="D172" t="s" s="17">
        <v>20</v>
      </c>
      <c r="E172" s="15"/>
      <c r="F172" t="s" s="17">
        <v>21</v>
      </c>
      <c r="G172" s="15"/>
      <c r="H172" s="15"/>
      <c r="I172" s="15"/>
      <c r="J172" s="15"/>
      <c r="K172" s="15"/>
      <c r="L172" s="15"/>
      <c r="M172" s="15"/>
    </row>
    <row r="173" ht="13.55" customHeight="1">
      <c r="A173" s="15"/>
      <c r="B173" s="16">
        <v>172</v>
      </c>
      <c r="C173" t="s" s="17">
        <v>193</v>
      </c>
      <c r="D173" t="s" s="17">
        <v>20</v>
      </c>
      <c r="E173" s="15"/>
      <c r="F173" t="s" s="17">
        <v>21</v>
      </c>
      <c r="G173" s="15"/>
      <c r="H173" s="15"/>
      <c r="I173" s="15"/>
      <c r="J173" s="15"/>
      <c r="K173" s="15"/>
      <c r="L173" s="15"/>
      <c r="M173" s="15"/>
    </row>
    <row r="174" ht="13.55" customHeight="1">
      <c r="A174" s="15"/>
      <c r="B174" s="16">
        <v>173</v>
      </c>
      <c r="C174" t="s" s="17">
        <v>194</v>
      </c>
      <c r="D174" t="s" s="17">
        <v>20</v>
      </c>
      <c r="E174" s="15"/>
      <c r="F174" t="s" s="17">
        <v>21</v>
      </c>
      <c r="G174" s="15"/>
      <c r="H174" s="15"/>
      <c r="I174" s="15"/>
      <c r="J174" s="15"/>
      <c r="K174" s="15"/>
      <c r="L174" s="15"/>
      <c r="M174" s="15"/>
    </row>
    <row r="175" ht="13.55" customHeight="1">
      <c r="A175" s="15"/>
      <c r="B175" s="16">
        <v>174</v>
      </c>
      <c r="C175" t="s" s="17">
        <v>195</v>
      </c>
      <c r="D175" t="s" s="17">
        <v>20</v>
      </c>
      <c r="E175" s="15"/>
      <c r="F175" t="s" s="17">
        <v>21</v>
      </c>
      <c r="G175" s="15"/>
      <c r="H175" s="15"/>
      <c r="I175" s="15"/>
      <c r="J175" s="15"/>
      <c r="K175" s="15"/>
      <c r="L175" s="15"/>
      <c r="M175" s="15"/>
    </row>
    <row r="176" ht="13.55" customHeight="1">
      <c r="A176" s="15"/>
      <c r="B176" s="16">
        <v>175</v>
      </c>
      <c r="C176" t="s" s="17">
        <v>196</v>
      </c>
      <c r="D176" t="s" s="17">
        <v>20</v>
      </c>
      <c r="E176" s="15"/>
      <c r="F176" t="s" s="17">
        <v>21</v>
      </c>
      <c r="G176" s="15"/>
      <c r="H176" s="15"/>
      <c r="I176" s="15"/>
      <c r="J176" s="15"/>
      <c r="K176" s="15"/>
      <c r="L176" s="15"/>
      <c r="M176" s="15"/>
    </row>
    <row r="177" ht="13.55" customHeight="1">
      <c r="A177" s="15"/>
      <c r="B177" s="16">
        <v>176</v>
      </c>
      <c r="C177" t="s" s="17">
        <v>197</v>
      </c>
      <c r="D177" t="s" s="17">
        <v>20</v>
      </c>
      <c r="E177" s="15"/>
      <c r="F177" t="s" s="17">
        <v>21</v>
      </c>
      <c r="G177" s="15"/>
      <c r="H177" s="15"/>
      <c r="I177" s="15"/>
      <c r="J177" s="15"/>
      <c r="K177" s="15"/>
      <c r="L177" s="15"/>
      <c r="M177" s="15"/>
    </row>
    <row r="178" ht="13.55" customHeight="1">
      <c r="A178" s="15"/>
      <c r="B178" s="16">
        <v>177</v>
      </c>
      <c r="C178" t="s" s="17">
        <v>198</v>
      </c>
      <c r="D178" t="s" s="17">
        <v>20</v>
      </c>
      <c r="E178" s="15"/>
      <c r="F178" t="s" s="17">
        <v>21</v>
      </c>
      <c r="G178" s="15"/>
      <c r="H178" s="15"/>
      <c r="I178" s="15"/>
      <c r="J178" s="15"/>
      <c r="K178" s="15"/>
      <c r="L178" s="15"/>
      <c r="M178" s="15"/>
    </row>
    <row r="179" ht="13.55" customHeight="1">
      <c r="A179" s="15"/>
      <c r="B179" s="16">
        <v>178</v>
      </c>
      <c r="C179" t="s" s="17">
        <v>199</v>
      </c>
      <c r="D179" t="s" s="17">
        <v>38</v>
      </c>
      <c r="E179" s="15"/>
      <c r="F179" t="s" s="17">
        <v>21</v>
      </c>
      <c r="G179" s="15"/>
      <c r="H179" s="15"/>
      <c r="I179" s="15"/>
      <c r="J179" s="15"/>
      <c r="K179" s="15"/>
      <c r="L179" s="15"/>
      <c r="M179" s="15"/>
    </row>
    <row r="180" ht="13.55" customHeight="1">
      <c r="A180" s="15"/>
      <c r="B180" s="16">
        <v>179</v>
      </c>
      <c r="C180" t="s" s="17">
        <v>200</v>
      </c>
      <c r="D180" t="s" s="17">
        <v>20</v>
      </c>
      <c r="E180" s="15"/>
      <c r="F180" t="s" s="17">
        <v>21</v>
      </c>
      <c r="G180" s="15"/>
      <c r="H180" s="15"/>
      <c r="I180" s="15"/>
      <c r="J180" s="15"/>
      <c r="K180" s="15"/>
      <c r="L180" s="15"/>
      <c r="M180" s="15"/>
    </row>
    <row r="181" ht="13.55" customHeight="1">
      <c r="A181" s="15"/>
      <c r="B181" s="16">
        <v>180</v>
      </c>
      <c r="C181" t="s" s="17">
        <v>201</v>
      </c>
      <c r="D181" t="s" s="17">
        <v>38</v>
      </c>
      <c r="E181" s="15"/>
      <c r="F181" t="s" s="17">
        <v>21</v>
      </c>
      <c r="G181" s="15"/>
      <c r="H181" s="15"/>
      <c r="I181" s="15"/>
      <c r="J181" s="15"/>
      <c r="K181" s="15"/>
      <c r="L181" s="15"/>
      <c r="M181" s="15"/>
    </row>
    <row r="182" ht="13.55" customHeight="1">
      <c r="A182" s="15"/>
      <c r="B182" s="16">
        <v>181</v>
      </c>
      <c r="C182" t="s" s="17">
        <v>202</v>
      </c>
      <c r="D182" t="s" s="17">
        <v>20</v>
      </c>
      <c r="E182" s="15"/>
      <c r="F182" t="s" s="17">
        <v>21</v>
      </c>
      <c r="G182" s="15"/>
      <c r="H182" s="15"/>
      <c r="I182" s="15"/>
      <c r="J182" s="15"/>
      <c r="K182" s="15"/>
      <c r="L182" s="15"/>
      <c r="M182" s="15"/>
    </row>
    <row r="183" ht="13.55" customHeight="1">
      <c r="A183" s="15"/>
      <c r="B183" s="16">
        <v>182</v>
      </c>
      <c r="C183" t="s" s="17">
        <v>203</v>
      </c>
      <c r="D183" t="s" s="17">
        <v>20</v>
      </c>
      <c r="E183" s="15"/>
      <c r="F183" t="s" s="17">
        <v>21</v>
      </c>
      <c r="G183" s="15"/>
      <c r="H183" s="15"/>
      <c r="I183" s="15"/>
      <c r="J183" s="15"/>
      <c r="K183" s="15"/>
      <c r="L183" s="15"/>
      <c r="M183" s="15"/>
    </row>
    <row r="184" ht="13.55" customHeight="1">
      <c r="A184" s="15"/>
      <c r="B184" s="16">
        <v>183</v>
      </c>
      <c r="C184" t="s" s="17">
        <v>204</v>
      </c>
      <c r="D184" t="s" s="17">
        <v>20</v>
      </c>
      <c r="E184" s="15"/>
      <c r="F184" t="s" s="17">
        <v>21</v>
      </c>
      <c r="G184" s="15"/>
      <c r="H184" s="15"/>
      <c r="I184" s="15"/>
      <c r="J184" s="15"/>
      <c r="K184" s="15"/>
      <c r="L184" s="15"/>
      <c r="M184" s="15"/>
    </row>
    <row r="185" ht="13.55" customHeight="1">
      <c r="A185" s="15"/>
      <c r="B185" s="16">
        <v>184</v>
      </c>
      <c r="C185" t="s" s="17">
        <v>205</v>
      </c>
      <c r="D185" t="s" s="17">
        <v>20</v>
      </c>
      <c r="E185" s="15"/>
      <c r="F185" t="s" s="17">
        <v>21</v>
      </c>
      <c r="G185" s="15"/>
      <c r="H185" s="15"/>
      <c r="I185" s="15"/>
      <c r="J185" s="15"/>
      <c r="K185" s="15"/>
      <c r="L185" s="15"/>
      <c r="M185" s="15"/>
    </row>
    <row r="186" ht="13.55" customHeight="1">
      <c r="A186" s="15"/>
      <c r="B186" s="16">
        <v>185</v>
      </c>
      <c r="C186" t="s" s="17">
        <v>206</v>
      </c>
      <c r="D186" t="s" s="17">
        <v>20</v>
      </c>
      <c r="E186" s="15"/>
      <c r="F186" t="s" s="17">
        <v>21</v>
      </c>
      <c r="G186" s="15"/>
      <c r="H186" s="15"/>
      <c r="I186" s="15"/>
      <c r="J186" s="15"/>
      <c r="K186" s="15"/>
      <c r="L186" s="15"/>
      <c r="M186" s="15"/>
    </row>
    <row r="187" ht="13.55" customHeight="1">
      <c r="A187" s="15"/>
      <c r="B187" s="16">
        <v>186</v>
      </c>
      <c r="C187" t="s" s="17">
        <v>207</v>
      </c>
      <c r="D187" t="s" s="17">
        <v>20</v>
      </c>
      <c r="E187" s="15"/>
      <c r="F187" t="s" s="17">
        <v>21</v>
      </c>
      <c r="G187" s="15"/>
      <c r="H187" s="15"/>
      <c r="I187" s="15"/>
      <c r="J187" s="15"/>
      <c r="K187" s="15"/>
      <c r="L187" s="15"/>
      <c r="M187" s="15"/>
    </row>
    <row r="188" ht="13.55" customHeight="1">
      <c r="A188" s="15"/>
      <c r="B188" s="16">
        <v>187</v>
      </c>
      <c r="C188" t="s" s="17">
        <v>208</v>
      </c>
      <c r="D188" t="s" s="17">
        <v>20</v>
      </c>
      <c r="E188" s="15"/>
      <c r="F188" t="s" s="17">
        <v>21</v>
      </c>
      <c r="G188" s="15"/>
      <c r="H188" s="15"/>
      <c r="I188" s="15"/>
      <c r="J188" s="15"/>
      <c r="K188" s="15"/>
      <c r="L188" s="15"/>
      <c r="M188" s="15"/>
    </row>
    <row r="189" ht="13.55" customHeight="1">
      <c r="A189" s="15"/>
      <c r="B189" s="16">
        <v>188</v>
      </c>
      <c r="C189" t="s" s="17">
        <v>209</v>
      </c>
      <c r="D189" t="s" s="17">
        <v>38</v>
      </c>
      <c r="E189" s="15"/>
      <c r="F189" t="s" s="17">
        <v>21</v>
      </c>
      <c r="G189" s="15"/>
      <c r="H189" s="15"/>
      <c r="I189" s="15"/>
      <c r="J189" s="15"/>
      <c r="K189" s="15"/>
      <c r="L189" s="15"/>
      <c r="M189" s="15"/>
    </row>
    <row r="190" ht="13.55" customHeight="1">
      <c r="A190" s="15"/>
      <c r="B190" s="16">
        <v>189</v>
      </c>
      <c r="C190" t="s" s="17">
        <v>42</v>
      </c>
      <c r="D190" t="s" s="17">
        <v>20</v>
      </c>
      <c r="E190" s="15"/>
      <c r="F190" t="s" s="17">
        <v>21</v>
      </c>
      <c r="G190" s="15"/>
      <c r="H190" s="15"/>
      <c r="I190" s="15"/>
      <c r="J190" s="15"/>
      <c r="K190" s="15"/>
      <c r="L190" s="15"/>
      <c r="M190" s="15"/>
    </row>
    <row r="191" ht="13.55" customHeight="1">
      <c r="A191" s="15"/>
      <c r="B191" s="16">
        <v>190</v>
      </c>
      <c r="C191" t="s" s="17">
        <v>210</v>
      </c>
      <c r="D191" t="s" s="17">
        <v>20</v>
      </c>
      <c r="E191" s="15"/>
      <c r="F191" t="s" s="17">
        <v>21</v>
      </c>
      <c r="G191" s="15"/>
      <c r="H191" s="15"/>
      <c r="I191" s="15"/>
      <c r="J191" s="15"/>
      <c r="K191" s="15"/>
      <c r="L191" s="15"/>
      <c r="M191" s="15"/>
    </row>
  </sheetData>
  <dataValidations count="3">
    <dataValidation type="list" allowBlank="1" showInputMessage="1" showErrorMessage="1" sqref="D2:D191">
      <formula1>"Chief,Commander"</formula1>
    </dataValidation>
    <dataValidation type="list" allowBlank="1" showInputMessage="1" showErrorMessage="1" sqref="E2:E191">
      <formula1>"TikTok,YouTube Shorts,Both"</formula1>
    </dataValidation>
    <dataValidation type="list" allowBlank="1" showInputMessage="1" showErrorMessage="1" sqref="F2:F191">
      <formula1>"Scripted,In Production,Completed,Uploaded,Published"</formula1>
    </dataValidation>
  </dataValidation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8.66667" defaultRowHeight="15" customHeight="1" outlineLevelRow="0" outlineLevelCol="0"/>
  <cols>
    <col min="1" max="1" width="20" style="18" customWidth="1"/>
    <col min="2" max="2" width="12" style="18" customWidth="1"/>
    <col min="3" max="5" width="8.67188" style="18" customWidth="1"/>
    <col min="6" max="16384" width="8.67188" style="18" customWidth="1"/>
  </cols>
  <sheetData>
    <row r="1" ht="17.25" customHeight="1">
      <c r="A1" t="s" s="19">
        <v>212</v>
      </c>
      <c r="B1" s="15"/>
      <c r="C1" s="20"/>
      <c r="D1" s="20"/>
      <c r="E1" s="20"/>
    </row>
    <row r="2" ht="13.55" customHeight="1">
      <c r="A2" s="15"/>
      <c r="B2" s="15"/>
      <c r="C2" s="20"/>
      <c r="D2" s="20"/>
      <c r="E2" s="20"/>
    </row>
    <row r="3" ht="15" customHeight="1">
      <c r="A3" t="s" s="21">
        <v>213</v>
      </c>
      <c r="B3" s="16" cm="1">
        <f t="array" ref="B3">COUNTA('Video Production'!A1:A191)-1</f>
        <v>5</v>
      </c>
      <c r="C3" s="20"/>
      <c r="D3" s="20"/>
      <c r="E3" s="20"/>
    </row>
    <row r="4" ht="15" customHeight="1">
      <c r="A4" t="s" s="21">
        <v>214</v>
      </c>
      <c r="B4" s="16" cm="1">
        <f t="array" ref="B4">COUNTIF('Video Production'!F1:F191,"Scripted")</f>
        <v>190</v>
      </c>
      <c r="C4" s="20"/>
      <c r="D4" s="20"/>
      <c r="E4" s="20"/>
    </row>
    <row r="5" ht="15" customHeight="1">
      <c r="A5" t="s" s="21">
        <v>215</v>
      </c>
      <c r="B5" s="16" cm="1">
        <f t="array" ref="B5">COUNTIF('Video Production'!F1:F191,"In Production")</f>
        <v>0</v>
      </c>
      <c r="C5" s="20"/>
      <c r="D5" s="20"/>
      <c r="E5" s="20"/>
    </row>
    <row r="6" ht="15" customHeight="1">
      <c r="A6" t="s" s="21">
        <v>216</v>
      </c>
      <c r="B6" s="16" cm="1">
        <f t="array" ref="B6">COUNTIF('Video Production'!F1:F191,"Completed")</f>
        <v>0</v>
      </c>
      <c r="C6" s="20"/>
      <c r="D6" s="20"/>
      <c r="E6" s="20"/>
    </row>
    <row r="7" ht="15" customHeight="1">
      <c r="A7" t="s" s="21">
        <v>217</v>
      </c>
      <c r="B7" s="16" cm="1">
        <f t="array" ref="B7">COUNTIF('Video Production'!F1:F191,"Uploaded")</f>
        <v>0</v>
      </c>
      <c r="C7" s="20"/>
      <c r="D7" s="20"/>
      <c r="E7" s="20"/>
    </row>
    <row r="8" ht="15" customHeight="1">
      <c r="A8" t="s" s="21">
        <v>218</v>
      </c>
      <c r="B8" s="16" cm="1">
        <f t="array" ref="B8">COUNTIF('Video Production'!F1:F191,"Published")</f>
        <v>0</v>
      </c>
      <c r="C8" s="20"/>
      <c r="D8" s="20"/>
      <c r="E8" s="20"/>
    </row>
    <row r="9" ht="13.55" customHeight="1">
      <c r="A9" s="15"/>
      <c r="B9" s="15"/>
      <c r="C9" s="20"/>
      <c r="D9" s="20"/>
      <c r="E9" s="20"/>
    </row>
    <row r="10" ht="15" customHeight="1">
      <c r="A10" t="s" s="17">
        <v>219</v>
      </c>
      <c r="B10" s="15"/>
      <c r="C10" s="20"/>
      <c r="D10" s="20"/>
      <c r="E10" s="20"/>
    </row>
    <row r="11" ht="15" customHeight="1">
      <c r="A11" t="s" s="21">
        <v>220</v>
      </c>
      <c r="B11" s="16" cm="1">
        <f t="array" ref="B11">COUNTIF('Video Production'!D1:D191,"Chief")</f>
        <v>155</v>
      </c>
      <c r="C11" s="20"/>
      <c r="D11" s="20"/>
      <c r="E11" s="20"/>
    </row>
    <row r="12" ht="15" customHeight="1">
      <c r="A12" t="s" s="21">
        <v>221</v>
      </c>
      <c r="B12" s="16" cm="1">
        <f t="array" ref="B12">COUNTIF('Video Production'!D1:D191,"Commander")</f>
        <v>35</v>
      </c>
      <c r="C12" s="20"/>
      <c r="D12" s="20"/>
      <c r="E12" s="20"/>
    </row>
    <row r="13" ht="13.55" customHeight="1">
      <c r="A13" s="15"/>
      <c r="B13" s="15"/>
      <c r="C13" s="20"/>
      <c r="D13" s="20"/>
      <c r="E13" s="20"/>
    </row>
    <row r="14" ht="15" customHeight="1">
      <c r="A14" t="s" s="17">
        <v>222</v>
      </c>
      <c r="B14" s="15"/>
      <c r="C14" s="20"/>
      <c r="D14" s="20"/>
      <c r="E14" s="20"/>
    </row>
    <row r="15" ht="15" customHeight="1">
      <c r="A15" t="s" s="21">
        <v>223</v>
      </c>
      <c r="B15" s="16" cm="1">
        <f t="array" ref="B15">COUNTIF('Video Production'!E1:E191,"TikTok")</f>
        <v>0</v>
      </c>
      <c r="C15" s="20"/>
      <c r="D15" s="20"/>
      <c r="E15" s="20"/>
    </row>
    <row r="16" ht="15" customHeight="1">
      <c r="A16" t="s" s="21">
        <v>224</v>
      </c>
      <c r="B16" s="16" cm="1">
        <f t="array" ref="B16">COUNTIF('Video Production'!E1:E191,"YouTube Shorts")</f>
        <v>0</v>
      </c>
      <c r="C16" s="20"/>
      <c r="D16" s="20"/>
      <c r="E16" s="20"/>
    </row>
    <row r="17" ht="15" customHeight="1">
      <c r="A17" t="s" s="21">
        <v>225</v>
      </c>
      <c r="B17" s="16" cm="1">
        <f t="array" ref="B17">COUNTIF('Video Production'!E1:E191,"Both")</f>
        <v>0</v>
      </c>
      <c r="C17" s="20"/>
      <c r="D17" s="20"/>
      <c r="E17" s="20"/>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